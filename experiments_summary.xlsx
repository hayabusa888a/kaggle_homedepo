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実験一覧" sheetId="2" state="visible" r:id="rId2"/>
    <sheet name="ファインチューニング比較" sheetId="3" state="visible" r:id="rId3"/>
    <sheet name="学び" sheetId="4" state="visible" r:id="rId4"/>
    <sheet name="CV と LB" sheetId="5" state="visible" r:id="rId5"/>
  </sheets>
  <definedNames>
    <definedName name="_xlnm._FilterDatabase" localSheetId="1" hidden="1">'実験一覧'!$A$1:$O$42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+0.0000;-0.0000;0.0000"/>
    <numFmt numFmtId="166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00"/>
      <sz val="14"/>
    </font>
    <font>
      <name val="Arial"/>
      <b val="1"/>
      <color rgb="00000000"/>
      <sz val="12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166" fontId="2" fillId="0" borderId="1" applyAlignment="1" pivotButton="0" quotePrefix="0" xfId="0">
      <alignment vertical="top" wrapText="1"/>
    </xf>
    <xf numFmtId="0" fontId="7" fillId="0" borderId="1" pivotButton="0" quotePrefix="0" xfId="0"/>
    <xf numFmtId="164" fontId="7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提出した実験の CV と Private LB</a:t>
            </a:r>
          </a:p>
        </rich>
      </tx>
    </title>
    <plotArea>
      <lineChart>
        <grouping val="standard"/>
        <ser>
          <idx val="0"/>
          <order val="0"/>
          <tx>
            <strRef>
              <f>'CV と LB'!B1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'CV と LB'!$A$2:$A$27</f>
            </numRef>
          </cat>
          <val>
            <numRef>
              <f>'CV と LB'!$B$2:$B$27</f>
            </numRef>
          </val>
        </ser>
        <ser>
          <idx val="1"/>
          <order val="1"/>
          <tx>
            <strRef>
              <f>'CV と LB'!C1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'CV と LB'!$A$2:$A$27</f>
            </numRef>
          </cat>
          <val>
            <numRef>
              <f>'CV と LB'!$C$2:$C$27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RMSE</a:t>
                </a:r>
              </a:p>
            </rich>
          </tx>
        </title>
        <numFmt formatCode="0.0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Home Depot Product Search Relevance：実験の振り返り（exp001〜exp033）</t>
        </is>
      </c>
    </row>
    <row r="3">
      <c r="A3" s="2" t="inlineStr">
        <is>
          <t>タスク</t>
        </is>
      </c>
      <c r="B3" s="3" t="inlineStr">
        <is>
          <t>検索語と商品のペアの関連度 relevance（1〜3、複数人の評価の平均）を予測する。評価指標は RMSE</t>
        </is>
      </c>
    </row>
    <row r="4">
      <c r="A4" s="2" t="inlineStr">
        <is>
          <t>期間</t>
        </is>
      </c>
      <c r="B4" s="3" t="inlineStr">
        <is>
          <t>2026-10-13 〜 2026-10-28</t>
        </is>
      </c>
    </row>
    <row r="5">
      <c r="A5" s="4" t="inlineStr">
        <is>
          <t>現在のベスト</t>
        </is>
      </c>
      <c r="B5" s="5" t="inlineStr">
        <is>
          <t>exp033_all：LightGBM 単体（全部の列）。CV 0.41705 / Private LB 0.41978 / Public LB 0.42182</t>
        </is>
      </c>
    </row>
    <row r="6">
      <c r="A6" s="2" t="inlineStr">
        <is>
          <t>最初のベースライン</t>
        </is>
      </c>
      <c r="B6" s="3" t="inlineStr">
        <is>
          <t>exp001：CV 0.50579 / Private LB 0.50782（ベストまで −0.0880）</t>
        </is>
      </c>
    </row>
    <row r="7">
      <c r="A7" s="2" t="inlineStr">
        <is>
          <t>ベストの構成</t>
        </is>
      </c>
      <c r="B7" s="3" t="inlineStr">
        <is>
          <t>前処理（正規化・SymSpell・ステミング）→ TF-IDF・BM25・単語一致・文字 n-gram・ブランド・属性値 → 埋め込み（mxbai-embed-large）→ 学習前の cross-encoder（mxbai-rerank-base）→ ファインチューニングした cross-encoder 8 種（bge-reranker-base ×2、v2-m3 ×2（種の平均）、DeBERTa ×2、ModernBERT ×1、Qwen3 ×1）→ 同じ検索語の中での相対値 → LightGBM（Optuna で調整、lr 0.02）</t>
        </is>
      </c>
    </row>
    <row r="8">
      <c r="A8" s="2" t="inlineStr">
        <is>
          <t>CV の方針</t>
        </is>
      </c>
      <c r="B8" s="3" t="inlineStr">
        <is>
          <t>検索語単位の GroupKFold（5 分割）。test の 73% の行は train にない検索語で、train では 1 つの検索語が平均 6〜7 行出てくるため</t>
        </is>
      </c>
    </row>
    <row r="9">
      <c r="A9" s="2" t="inlineStr">
        <is>
          <t>データの要点</t>
        </is>
      </c>
      <c r="B9" s="3" t="inlineStr">
        <is>
          <t>test の 57% の行は train にない商品。11.6% は train のどの商品より新しい（product_uid &gt; 206,650）。新しい商品ほど relevance が低く、誤差が大きい。同じ検索語でほぼ同じ商品の組でも評価のばらつきが RMSE 換算で 0.288 あり、ラベルのノイズが大きい</t>
        </is>
      </c>
    </row>
    <row r="10">
      <c r="A10" s="2" t="inlineStr">
        <is>
          <t>最大の課題</t>
        </is>
      </c>
      <c r="B10" s="3" t="inlineStr">
        <is>
          <t>ファインチューニングのスコアへの依存を強める変更（アンサンブル、種の平均、数値だけの特徴量）ほど、CV は良くなるのに LB は良くならない。CV では train より新しい商品を評価できない。採否は Public LB で判断している</t>
        </is>
      </c>
    </row>
    <row r="11">
      <c r="A11" s="2" t="inlineStr">
        <is>
          <t>環境</t>
        </is>
      </c>
      <c r="B11" s="3" t="inlineStr">
        <is>
          <t>RTX 5070 Laptop（8GB、電源アダプタ次第で 25W 制限）。.venv-gpu（transformers 5.20）と .venv-deberta（transformers 4.49、DeBERTa の学習用）。長時間の処理はツールの 2 時間制限のため独立プロセスで実行</t>
        </is>
      </c>
    </row>
    <row r="12">
      <c r="A12" s="2" t="inlineStr">
        <is>
          <t>詳細</t>
        </is>
      </c>
      <c r="B12" s="3" t="inlineStr">
        <is>
          <t>各実験の詳細は EXPERIMENTS.md、コードは exp/・src/・scripts/</t>
        </is>
      </c>
    </row>
    <row r="13"/>
    <row r="14">
      <c r="A14" s="6" t="inlineStr">
        <is>
          <t>シートの説明</t>
        </is>
      </c>
    </row>
    <row r="15">
      <c r="A15" s="2" t="inlineStr">
        <is>
          <t>実験一覧</t>
        </is>
      </c>
      <c r="B15" s="3" t="inlineStr">
        <is>
          <t>全実験の CV・LB・比較対象からの変化（数式）・判定・メモ</t>
        </is>
      </c>
    </row>
    <row r="16">
      <c r="A16" s="2" t="inlineStr">
        <is>
          <t>ファインチューニング比較</t>
        </is>
      </c>
      <c r="B16" s="3" t="inlineStr">
        <is>
          <t>ファインチューニングした cross-encoder ごとの単独の精度と時間</t>
        </is>
      </c>
    </row>
    <row r="17">
      <c r="A17" s="2" t="inlineStr">
        <is>
          <t>学び</t>
        </is>
      </c>
      <c r="B17" s="3" t="inlineStr">
        <is>
          <t>実験から得た教訓と、その根拠になった実験</t>
        </is>
      </c>
    </row>
    <row r="18">
      <c r="A18" s="2" t="inlineStr">
        <is>
          <t>CV と LB</t>
        </is>
      </c>
      <c r="B18" s="3" t="inlineStr">
        <is>
          <t>提出した実験の CV と Private LB の推移（表とグラフ）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5" customWidth="1" min="4" max="4"/>
    <col width="52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60" customWidth="1" min="14" max="14"/>
    <col width="38" customWidth="1" min="15" max="15"/>
  </cols>
  <sheetData>
    <row r="1">
      <c r="A1" s="7" t="inlineStr">
        <is>
          <t>No</t>
        </is>
      </c>
      <c r="B1" s="7" t="inlineStr">
        <is>
          <t>実験</t>
        </is>
      </c>
      <c r="C1" s="7" t="inlineStr">
        <is>
          <t>日付</t>
        </is>
      </c>
      <c r="D1" s="7" t="inlineStr">
        <is>
          <t>カテゴリ</t>
        </is>
      </c>
      <c r="E1" s="7" t="inlineStr">
        <is>
          <t>内容</t>
        </is>
      </c>
      <c r="F1" s="7" t="inlineStr">
        <is>
          <t>比較対象</t>
        </is>
      </c>
      <c r="G1" s="7" t="inlineStr">
        <is>
          <t>CV RMSE</t>
        </is>
      </c>
      <c r="H1" s="7" t="inlineStr">
        <is>
          <t>Private LB</t>
        </is>
      </c>
      <c r="I1" s="7" t="inlineStr">
        <is>
          <t>Public LB</t>
        </is>
      </c>
      <c r="J1" s="7" t="inlineStr">
        <is>
          <t>LB−CV
(Private)</t>
        </is>
      </c>
      <c r="K1" s="7" t="inlineStr">
        <is>
          <t>CV の変化
(比較対象から)</t>
        </is>
      </c>
      <c r="L1" s="7" t="inlineStr">
        <is>
          <t>Private LB の変化
(比較対象から)</t>
        </is>
      </c>
      <c r="M1" s="7" t="inlineStr">
        <is>
          <t>判定</t>
        </is>
      </c>
      <c r="N1" s="7" t="inlineStr">
        <is>
          <t>メモ・学び</t>
        </is>
      </c>
      <c r="O1" s="7" t="inlineStr">
        <is>
          <t>スクリプト / 出力</t>
        </is>
      </c>
    </row>
    <row r="2">
      <c r="A2" s="8" t="n">
        <v>1</v>
      </c>
      <c r="B2" s="8" t="inlineStr">
        <is>
          <t>exp001</t>
        </is>
      </c>
      <c r="C2" s="8" t="inlineStr">
        <is>
          <t>2026-10-13</t>
        </is>
      </c>
      <c r="D2" s="8" t="inlineStr">
        <is>
          <t>ベースライン</t>
        </is>
      </c>
      <c r="E2" s="8" t="inlineStr">
        <is>
          <t>TF-IDF コサイン類似度（検索語×タイトル、検索語×説明文）＋ LightGBM</t>
        </is>
      </c>
      <c r="F2" s="8" t="n"/>
      <c r="G2" s="9" t="n">
        <v>0.50579</v>
      </c>
      <c r="H2" s="10" t="n">
        <v>0.50782</v>
      </c>
      <c r="I2" s="9" t="n"/>
      <c r="J2" s="11">
        <f>IF(H2="","",H2-G2)</f>
        <v/>
      </c>
      <c r="K2" s="11">
        <f>IF(F2="","",G2-INDEX($G:$G,MATCH(F2,$B:$B,0)))</f>
        <v/>
      </c>
      <c r="L2" s="11">
        <f>IF(OR(F2="",H2=""),"",IFERROR(IF(INDEX($H:$H,MATCH(F2,$B:$B,0))="","",H2-INDEX($H:$H,MATCH(F2,$B:$B,0))),""))</f>
        <v/>
      </c>
      <c r="M2" s="8" t="inlineStr">
        <is>
          <t>採用（基準）</t>
        </is>
      </c>
      <c r="N2" s="8" t="inlineStr">
        <is>
          <t>特徴量 2 つだけ。CV の分け方は検索語単位の GroupKFold（test の 73% は train にない検索語）</t>
        </is>
      </c>
      <c r="O2" s="8" t="inlineStr">
        <is>
          <t>exp/exp001_tfidf_lgbm.py</t>
        </is>
      </c>
    </row>
    <row r="3">
      <c r="A3" s="8" t="n">
        <v>2</v>
      </c>
      <c r="B3" s="8" t="inlineStr">
        <is>
          <t>exp002</t>
        </is>
      </c>
      <c r="C3" s="8" t="inlineStr">
        <is>
          <t>2026-10-15</t>
        </is>
      </c>
      <c r="D3" s="8" t="inlineStr">
        <is>
          <t>特徴量</t>
        </is>
      </c>
      <c r="E3" s="8" t="inlineStr">
        <is>
          <t>＋ 検索語・タイトルの TF-IDF ベクトル（疎行列のまま）</t>
        </is>
      </c>
      <c r="F3" s="8" t="inlineStr">
        <is>
          <t>exp001</t>
        </is>
      </c>
      <c r="G3" s="9" t="n">
        <v>0.49581</v>
      </c>
      <c r="H3" s="10" t="n">
        <v>0.49333</v>
      </c>
      <c r="I3" s="9" t="n"/>
      <c r="J3" s="11">
        <f>IF(H3="","",H3-G3)</f>
        <v/>
      </c>
      <c r="K3" s="11">
        <f>IF(F3="","",G3-INDEX($G:$G,MATCH(F3,$B:$B,0)))</f>
        <v/>
      </c>
      <c r="L3" s="11">
        <f>IF(OR(F3="",H3=""),"",IFERROR(IF(INDEX($H:$H,MATCH(F3,$B:$B,0))="","",H3-INDEX($H:$H,MATCH(F3,$B:$B,0))),""))</f>
        <v/>
      </c>
      <c r="M3" s="8" t="inlineStr">
        <is>
          <t>採用</t>
        </is>
      </c>
      <c r="N3" s="8" t="inlineStr">
        <is>
          <t>for/in/to など「検索語の形」や商品カテゴリの単語が効いた</t>
        </is>
      </c>
      <c r="O3" s="8" t="inlineStr">
        <is>
          <t>exp/exp002_tfidf_vec_lgbm.py</t>
        </is>
      </c>
    </row>
    <row r="4">
      <c r="A4" s="8" t="n">
        <v>3</v>
      </c>
      <c r="B4" s="8" t="inlineStr">
        <is>
          <t>exp003</t>
        </is>
      </c>
      <c r="C4" s="8" t="inlineStr">
        <is>
          <t>2026-10-15</t>
        </is>
      </c>
      <c r="D4" s="8" t="inlineStr">
        <is>
          <t>前処理</t>
        </is>
      </c>
      <c r="E4" s="8" t="inlineStr">
        <is>
          <t>＋ 表記の正規化（連結語・単位・寸法・ハイフン）＋ Snowball ステミング</t>
        </is>
      </c>
      <c r="F4" s="8" t="inlineStr">
        <is>
          <t>exp002</t>
        </is>
      </c>
      <c r="G4" s="9" t="n">
        <v>0.48587</v>
      </c>
      <c r="H4" s="9" t="n"/>
      <c r="I4" s="9" t="n"/>
      <c r="J4" s="11">
        <f>IF(H4="","",H4-G4)</f>
        <v/>
      </c>
      <c r="K4" s="11">
        <f>IF(F4="","",G4-INDEX($G:$G,MATCH(F4,$B:$B,0)))</f>
        <v/>
      </c>
      <c r="L4" s="11">
        <f>IF(OR(F4="",H4=""),"",IFERROR(IF(INDEX($H:$H,MATCH(F4,$B:$B,0))="","",H4-INDEX($H:$H,MATCH(F4,$B:$B,0))),""))</f>
        <v/>
      </c>
      <c r="M4" s="8" t="inlineStr">
        <is>
          <t>採用</t>
        </is>
      </c>
      <c r="N4" s="8" t="inlineStr">
        <is>
          <t>語彙が 1/3 に。1 文字の数字を残したことも効いた</t>
        </is>
      </c>
      <c r="O4" s="8" t="inlineStr">
        <is>
          <t>exp/exp003_preprocess.py</t>
        </is>
      </c>
    </row>
    <row r="5">
      <c r="A5" s="8" t="n">
        <v>4</v>
      </c>
      <c r="B5" s="8" t="inlineStr">
        <is>
          <t>exp004</t>
        </is>
      </c>
      <c r="C5" s="8" t="inlineStr">
        <is>
          <t>2026-10-15</t>
        </is>
      </c>
      <c r="D5" s="8" t="inlineStr">
        <is>
          <t>スペル修正</t>
        </is>
      </c>
      <c r="E5" s="8" t="inlineStr">
        <is>
          <t>＋ 検索語のスペル修正（SymSpell、商品テキストの語彙を辞書に）</t>
        </is>
      </c>
      <c r="F5" s="8" t="inlineStr">
        <is>
          <t>exp003</t>
        </is>
      </c>
      <c r="G5" s="9" t="n">
        <v>0.48211</v>
      </c>
      <c r="H5" s="10" t="n">
        <v>0.47993</v>
      </c>
      <c r="I5" s="9" t="n"/>
      <c r="J5" s="11">
        <f>IF(H5="","",H5-G5)</f>
        <v/>
      </c>
      <c r="K5" s="11">
        <f>IF(F5="","",G5-INDEX($G:$G,MATCH(F5,$B:$B,0)))</f>
        <v/>
      </c>
      <c r="L5" s="11">
        <f>IF(OR(F5="",H5=""),"",IFERROR(IF(INDEX($H:$H,MATCH(F5,$B:$B,0))="","",H5-INDEX($H:$H,MATCH(F5,$B:$B,0))),""))</f>
        <v/>
      </c>
      <c r="M5" s="8" t="inlineStr">
        <is>
          <t>採用</t>
        </is>
      </c>
      <c r="N5" s="8" t="inlineStr">
        <is>
          <t>修正が入るのは 14% の行。ブランド名に強い</t>
        </is>
      </c>
      <c r="O5" s="8" t="inlineStr">
        <is>
          <t>exp/exp004_spell_symspell.py</t>
        </is>
      </c>
    </row>
    <row r="6">
      <c r="A6" s="12" t="n">
        <v>5</v>
      </c>
      <c r="B6" s="12" t="inlineStr">
        <is>
          <t>exp005</t>
        </is>
      </c>
      <c r="C6" s="12" t="inlineStr">
        <is>
          <t>2026-10-15</t>
        </is>
      </c>
      <c r="D6" s="12" t="inlineStr">
        <is>
          <t>スペル修正</t>
        </is>
      </c>
      <c r="E6" s="12" t="inlineStr">
        <is>
          <t>exp003 ＋ 検索語のスペル修正（ローカル LLM：Llama 3.1 8B）</t>
        </is>
      </c>
      <c r="F6" s="12" t="inlineStr">
        <is>
          <t>exp004</t>
        </is>
      </c>
      <c r="G6" s="13" t="n">
        <v>0.4825</v>
      </c>
      <c r="H6" s="14" t="n">
        <v>0.48024</v>
      </c>
      <c r="I6" s="13" t="n"/>
      <c r="J6" s="15">
        <f>IF(H6="","",H6-G6)</f>
        <v/>
      </c>
      <c r="K6" s="15">
        <f>IF(F6="","",G6-INDEX($G:$G,MATCH(F6,$B:$B,0)))</f>
        <v/>
      </c>
      <c r="L6" s="15">
        <f>IF(OR(F6="",H6=""),"",IFERROR(IF(INDEX($H:$H,MATCH(F6,$B:$B,0))="","",H6-INDEX($H:$H,MATCH(F6,$B:$B,0))),""))</f>
        <v/>
      </c>
      <c r="M6" s="12" t="inlineStr">
        <is>
          <t>不採用</t>
        </is>
      </c>
      <c r="N6" s="12" t="inlineStr">
        <is>
          <t>SymSpell とほぼ同等。修正結果の一致は 55% で得意分野が違う（LLM は一般語・文脈、SymSpell は商品の語彙）</t>
        </is>
      </c>
      <c r="O6" s="12" t="inlineStr">
        <is>
          <t>exp/exp005_spell_llm.py</t>
        </is>
      </c>
    </row>
    <row r="7">
      <c r="A7" s="8" t="n">
        <v>6</v>
      </c>
      <c r="B7" s="8" t="inlineStr">
        <is>
          <t>exp006</t>
        </is>
      </c>
      <c r="C7" s="8" t="inlineStr">
        <is>
          <t>2026-10-16</t>
        </is>
      </c>
      <c r="D7" s="8" t="inlineStr">
        <is>
          <t>特徴量</t>
        </is>
      </c>
      <c r="E7" s="8" t="inlineStr">
        <is>
          <t>＋ 単語一致の数え上げ（18 個）＋ ブランド一致（4 個）</t>
        </is>
      </c>
      <c r="F7" s="8" t="inlineStr">
        <is>
          <t>exp004</t>
        </is>
      </c>
      <c r="G7" s="9" t="n">
        <v>0.46648</v>
      </c>
      <c r="H7" s="10" t="n">
        <v>0.46501</v>
      </c>
      <c r="I7" s="9" t="n"/>
      <c r="J7" s="11">
        <f>IF(H7="","",H7-G7)</f>
        <v/>
      </c>
      <c r="K7" s="11">
        <f>IF(F7="","",G7-INDEX($G:$G,MATCH(F7,$B:$B,0)))</f>
        <v/>
      </c>
      <c r="L7" s="11">
        <f>IF(OR(F7="",H7=""),"",IFERROR(IF(INDEX($H:$H,MATCH(F7,$B:$B,0))="","",H7-INDEX($H:$H,MATCH(F7,$B:$B,0))),""))</f>
        <v/>
      </c>
      <c r="M7" s="8" t="inlineStr">
        <is>
          <t>採用</t>
        </is>
      </c>
      <c r="N7" s="8" t="inlineStr">
        <is>
          <t>単純な「何割一致したか」が 1 位に。最後の単語の一致、別ブランドの言及が効いた</t>
        </is>
      </c>
      <c r="O7" s="8" t="inlineStr">
        <is>
          <t>exp/exp006_match_brand.py</t>
        </is>
      </c>
    </row>
    <row r="8">
      <c r="A8" s="8" t="n">
        <v>7</v>
      </c>
      <c r="B8" s="8" t="inlineStr">
        <is>
          <t>exp007</t>
        </is>
      </c>
      <c r="C8" s="8" t="inlineStr">
        <is>
          <t>2026-10-16</t>
        </is>
      </c>
      <c r="D8" s="8" t="inlineStr">
        <is>
          <t>特徴量</t>
        </is>
      </c>
      <c r="E8" s="8" t="inlineStr">
        <is>
          <t>＋ BM25 ＋ 文字 n-gram の類似度 ＋ 属性値との一致</t>
        </is>
      </c>
      <c r="F8" s="8" t="inlineStr">
        <is>
          <t>exp006</t>
        </is>
      </c>
      <c r="G8" s="9" t="n">
        <v>0.46387</v>
      </c>
      <c r="H8" s="10" t="n">
        <v>0.46273</v>
      </c>
      <c r="I8" s="9" t="n"/>
      <c r="J8" s="11">
        <f>IF(H8="","",H8-G8)</f>
        <v/>
      </c>
      <c r="K8" s="11">
        <f>IF(F8="","",G8-INDEX($G:$G,MATCH(F8,$B:$B,0)))</f>
        <v/>
      </c>
      <c r="L8" s="11">
        <f>IF(OR(F8="",H8=""),"",IFERROR(IF(INDEX($H:$H,MATCH(F8,$B:$B,0))="","",H8-INDEX($H:$H,MATCH(F8,$B:$B,0))),""))</f>
        <v/>
      </c>
      <c r="M8" s="8" t="inlineStr">
        <is>
          <t>採用</t>
        </is>
      </c>
      <c r="N8" s="8" t="inlineStr">
        <is>
          <t>文字 n-gram が 2 位。属性値はほぼ効かない</t>
        </is>
      </c>
      <c r="O8" s="8" t="inlineStr">
        <is>
          <t>exp/exp007_bm25_char_attr.py</t>
        </is>
      </c>
    </row>
    <row r="9">
      <c r="A9" s="12" t="n">
        <v>8</v>
      </c>
      <c r="B9" s="12" t="inlineStr">
        <is>
          <t>exp008</t>
        </is>
      </c>
      <c r="C9" s="12" t="inlineStr">
        <is>
          <t>2026-10-16</t>
        </is>
      </c>
      <c r="D9" s="12" t="inlineStr">
        <is>
          <t>特徴量</t>
        </is>
      </c>
      <c r="E9" s="12" t="inlineStr">
        <is>
          <t>＋ ブランド名の TF-IDF（類似度 ＋ ベクトル）</t>
        </is>
      </c>
      <c r="F9" s="12" t="inlineStr">
        <is>
          <t>exp007</t>
        </is>
      </c>
      <c r="G9" s="13" t="n">
        <v>0.46364</v>
      </c>
      <c r="H9" s="13" t="n"/>
      <c r="I9" s="13" t="n"/>
      <c r="J9" s="15">
        <f>IF(H9="","",H9-G9)</f>
        <v/>
      </c>
      <c r="K9" s="15">
        <f>IF(F9="","",G9-INDEX($G:$G,MATCH(F9,$B:$B,0)))</f>
        <v/>
      </c>
      <c r="L9" s="15">
        <f>IF(OR(F9="",H9=""),"",IFERROR(IF(INDEX($H:$H,MATCH(F9,$B:$B,0))="","",H9-INDEX($H:$H,MATCH(F9,$B:$B,0))),""))</f>
        <v/>
      </c>
      <c r="M9" s="12" t="inlineStr">
        <is>
          <t>不採用</t>
        </is>
      </c>
      <c r="N9" s="12" t="inlineStr">
        <is>
          <t>誤差の範囲。exp006 のブランド特徴量・タイトルと情報が重なる</t>
        </is>
      </c>
      <c r="O9" s="12" t="inlineStr">
        <is>
          <t>exp/exp008_brand_tfidf.py</t>
        </is>
      </c>
    </row>
    <row r="10">
      <c r="A10" s="8" t="n">
        <v>9</v>
      </c>
      <c r="B10" s="8" t="inlineStr">
        <is>
          <t>exp009</t>
        </is>
      </c>
      <c r="C10" s="8" t="inlineStr">
        <is>
          <t>2026-10-16</t>
        </is>
      </c>
      <c r="D10" s="8" t="inlineStr">
        <is>
          <t>埋め込み</t>
        </is>
      </c>
      <c r="E10" s="8" t="inlineStr">
        <is>
          <t>exp007 ＋ 埋め込み（nomic-embed-text、Ollama）の類似度 ＋ ベクトル</t>
        </is>
      </c>
      <c r="F10" s="8" t="inlineStr">
        <is>
          <t>exp007</t>
        </is>
      </c>
      <c r="G10" s="9" t="n">
        <v>0.45262</v>
      </c>
      <c r="H10" s="10" t="n">
        <v>0.45013</v>
      </c>
      <c r="I10" s="9" t="n"/>
      <c r="J10" s="11">
        <f>IF(H10="","",H10-G10)</f>
        <v/>
      </c>
      <c r="K10" s="11">
        <f>IF(F10="","",G10-INDEX($G:$G,MATCH(F10,$B:$B,0)))</f>
        <v/>
      </c>
      <c r="L10" s="11">
        <f>IF(OR(F10="",H10=""),"",IFERROR(IF(INDEX($H:$H,MATCH(F10,$B:$B,0))="","",H10-INDEX($H:$H,MATCH(F10,$B:$B,0))),""))</f>
        <v/>
      </c>
      <c r="M10" s="8" t="inlineStr">
        <is>
          <t>採用</t>
        </is>
      </c>
      <c r="N10" s="8" t="inlineStr">
        <is>
          <t>意味の近さ（同義語）を拾える。単独の相関 0.428 は当時の最高</t>
        </is>
      </c>
      <c r="O10" s="8" t="inlineStr">
        <is>
          <t>exp/exp009_embedding.py</t>
        </is>
      </c>
    </row>
    <row r="11">
      <c r="A11" s="8" t="n">
        <v>10</v>
      </c>
      <c r="B11" s="8" t="inlineStr">
        <is>
          <t>exp010</t>
        </is>
      </c>
      <c r="C11" s="8" t="inlineStr">
        <is>
          <t>2026-10-16</t>
        </is>
      </c>
      <c r="D11" s="8" t="inlineStr">
        <is>
          <t>埋め込み</t>
        </is>
      </c>
      <c r="E11" s="8" t="inlineStr">
        <is>
          <t>exp007 ＋ 埋め込み（mxbai-embed-large、GPU で直接計算）＋ 説明文のベクトルも</t>
        </is>
      </c>
      <c r="F11" s="8" t="inlineStr">
        <is>
          <t>exp009</t>
        </is>
      </c>
      <c r="G11" s="9" t="n">
        <v>0.44584</v>
      </c>
      <c r="H11" s="10" t="n">
        <v>0.44345</v>
      </c>
      <c r="I11" s="9" t="n"/>
      <c r="J11" s="11">
        <f>IF(H11="","",H11-G11)</f>
        <v/>
      </c>
      <c r="K11" s="11">
        <f>IF(F11="","",G11-INDEX($G:$G,MATCH(F11,$B:$B,0)))</f>
        <v/>
      </c>
      <c r="L11" s="11">
        <f>IF(OR(F11="",H11=""),"",IFERROR(IF(INDEX($H:$H,MATCH(F11,$B:$B,0))="","",H11-INDEX($H:$H,MATCH(F11,$B:$B,0))),""))</f>
        <v/>
      </c>
      <c r="M11" s="8" t="inlineStr">
        <is>
          <t>採用</t>
        </is>
      </c>
      <c r="N11" s="8" t="inlineStr">
        <is>
          <t>PyTorch で GPU を直接使い 84 分 → 33 分</t>
        </is>
      </c>
      <c r="O11" s="8" t="inlineStr">
        <is>
          <t>exp/exp010_embedding_mxbai.py</t>
        </is>
      </c>
    </row>
    <row r="12">
      <c r="A12" s="16" t="n">
        <v>11</v>
      </c>
      <c r="B12" s="16" t="inlineStr">
        <is>
          <t>exp011</t>
        </is>
      </c>
      <c r="C12" s="16" t="inlineStr">
        <is>
          <t>2026-10-17</t>
        </is>
      </c>
      <c r="D12" s="16" t="inlineStr">
        <is>
          <t>検証</t>
        </is>
      </c>
      <c r="E12" s="16" t="inlineStr">
        <is>
          <t>exp009（nomic）＋ 説明文の埋め込みベクトル</t>
        </is>
      </c>
      <c r="F12" s="16" t="inlineStr">
        <is>
          <t>exp009</t>
        </is>
      </c>
      <c r="G12" s="17" t="n">
        <v>0.45252</v>
      </c>
      <c r="H12" s="17" t="n"/>
      <c r="I12" s="17" t="n"/>
      <c r="J12" s="18">
        <f>IF(H12="","",H12-G12)</f>
        <v/>
      </c>
      <c r="K12" s="18">
        <f>IF(F12="","",G12-INDEX($G:$G,MATCH(F12,$B:$B,0)))</f>
        <v/>
      </c>
      <c r="L12" s="18">
        <f>IF(OR(F12="",H12=""),"",IFERROR(IF(INDEX($H:$H,MATCH(F12,$B:$B,0))="","",H12-INDEX($H:$H,MATCH(F12,$B:$B,0))),""))</f>
        <v/>
      </c>
      <c r="M12" s="16" t="inlineStr">
        <is>
          <t>検証</t>
        </is>
      </c>
      <c r="N12" s="16" t="inlineStr">
        <is>
          <t>説明文のベクトルは効果なし → exp010 の改善はモデルの変更によるもの。gain が大きくても予測を良くしているとは限らない</t>
        </is>
      </c>
      <c r="O12" s="16" t="inlineStr">
        <is>
          <t>exp/exp011_nomic_desc_vec.py</t>
        </is>
      </c>
    </row>
    <row r="13">
      <c r="A13" s="8" t="n">
        <v>12</v>
      </c>
      <c r="B13" s="8" t="inlineStr">
        <is>
          <t>exp012</t>
        </is>
      </c>
      <c r="C13" s="8" t="inlineStr">
        <is>
          <t>2026-10-17</t>
        </is>
      </c>
      <c r="D13" s="8" t="inlineStr">
        <is>
          <t>検証</t>
        </is>
      </c>
      <c r="E13" s="8" t="inlineStr">
        <is>
          <t>exp010 から説明文の埋め込みベクトルを外す</t>
        </is>
      </c>
      <c r="F13" s="8" t="inlineStr">
        <is>
          <t>exp010</t>
        </is>
      </c>
      <c r="G13" s="9" t="n">
        <v>0.44593</v>
      </c>
      <c r="H13" s="9" t="n"/>
      <c r="I13" s="9" t="n"/>
      <c r="J13" s="11">
        <f>IF(H13="","",H13-G13)</f>
        <v/>
      </c>
      <c r="K13" s="11">
        <f>IF(F13="","",G13-INDEX($G:$G,MATCH(F13,$B:$B,0)))</f>
        <v/>
      </c>
      <c r="L13" s="11">
        <f>IF(OR(F13="",H13=""),"",IFERROR(IF(INDEX($H:$H,MATCH(F13,$B:$B,0))="","",H13-INDEX($H:$H,MATCH(F13,$B:$B,0))),""))</f>
        <v/>
      </c>
      <c r="M13" s="8" t="inlineStr">
        <is>
          <t>採用</t>
        </is>
      </c>
      <c r="N13" s="8" t="inlineStr">
        <is>
          <t>精度は同じで列数・時間を削減</t>
        </is>
      </c>
      <c r="O13" s="8" t="inlineStr">
        <is>
          <t>exp/exp012_mxbai_no_desc_vec.py</t>
        </is>
      </c>
    </row>
    <row r="14">
      <c r="A14" s="12" t="n">
        <v>13</v>
      </c>
      <c r="B14" s="12" t="inlineStr">
        <is>
          <t>exp013</t>
        </is>
      </c>
      <c r="C14" s="12" t="inlineStr">
        <is>
          <t>2026-10-17</t>
        </is>
      </c>
      <c r="D14" s="12" t="inlineStr">
        <is>
          <t>リランカー</t>
        </is>
      </c>
      <c r="E14" s="12" t="inlineStr">
        <is>
          <t>＋ cross-encoder（ms-marco-MiniLM-L-6-v2）のスコア</t>
        </is>
      </c>
      <c r="F14" s="12" t="inlineStr">
        <is>
          <t>exp012</t>
        </is>
      </c>
      <c r="G14" s="13" t="n">
        <v>0.44496</v>
      </c>
      <c r="H14" s="13" t="n"/>
      <c r="I14" s="13" t="n"/>
      <c r="J14" s="15">
        <f>IF(H14="","",H14-G14)</f>
        <v/>
      </c>
      <c r="K14" s="15">
        <f>IF(F14="","",G14-INDEX($G:$G,MATCH(F14,$B:$B,0)))</f>
        <v/>
      </c>
      <c r="L14" s="15">
        <f>IF(OR(F14="",H14=""),"",IFERROR(IF(INDEX($H:$H,MATCH(F14,$B:$B,0))="","",H14-INDEX($H:$H,MATCH(F14,$B:$B,0))),""))</f>
        <v/>
      </c>
      <c r="M14" s="12" t="inlineStr">
        <is>
          <t>不採用</t>
        </is>
      </c>
      <c r="N14" s="12" t="inlineStr">
        <is>
          <t>軽量モデルでは効果小。exp014 に置き換え</t>
        </is>
      </c>
      <c r="O14" s="12" t="inlineStr">
        <is>
          <t>exp/exp013_rerank_minilm.py</t>
        </is>
      </c>
    </row>
    <row r="15">
      <c r="A15" s="8" t="n">
        <v>14</v>
      </c>
      <c r="B15" s="8" t="inlineStr">
        <is>
          <t>exp014</t>
        </is>
      </c>
      <c r="C15" s="8" t="inlineStr">
        <is>
          <t>2026-10-17</t>
        </is>
      </c>
      <c r="D15" s="8" t="inlineStr">
        <is>
          <t>リランカー</t>
        </is>
      </c>
      <c r="E15" s="8" t="inlineStr">
        <is>
          <t>＋ cross-encoder（mxbai-rerank-base-v1、DeBERTa）のスコア（学習前のまま）</t>
        </is>
      </c>
      <c r="F15" s="8" t="inlineStr">
        <is>
          <t>exp012</t>
        </is>
      </c>
      <c r="G15" s="9" t="n">
        <v>0.44025</v>
      </c>
      <c r="H15" s="9" t="n"/>
      <c r="I15" s="9" t="n"/>
      <c r="J15" s="11">
        <f>IF(H15="","",H15-G15)</f>
        <v/>
      </c>
      <c r="K15" s="11">
        <f>IF(F15="","",G15-INDEX($G:$G,MATCH(F15,$B:$B,0)))</f>
        <v/>
      </c>
      <c r="L15" s="11">
        <f>IF(OR(F15="",H15=""),"",IFERROR(IF(INDEX($H:$H,MATCH(F15,$B:$B,0))="","",H15-INDEX($H:$H,MATCH(F15,$B:$B,0))),""))</f>
        <v/>
      </c>
      <c r="M15" s="8" t="inlineStr">
        <is>
          <t>採用</t>
        </is>
      </c>
      <c r="N15" s="8" t="inlineStr">
        <is>
          <t>説明文のスコアで MiniLM に大差</t>
        </is>
      </c>
      <c r="O15" s="8" t="inlineStr">
        <is>
          <t>exp/exp014_rerank_mxbai.py</t>
        </is>
      </c>
    </row>
    <row r="16">
      <c r="A16" s="12" t="n">
        <v>15</v>
      </c>
      <c r="B16" s="12" t="inlineStr">
        <is>
          <t>exp015</t>
        </is>
      </c>
      <c r="C16" s="12" t="inlineStr">
        <is>
          <t>2026-10-17</t>
        </is>
      </c>
      <c r="D16" s="12" t="inlineStr">
        <is>
          <t>リランカー</t>
        </is>
      </c>
      <c r="E16" s="12" t="inlineStr">
        <is>
          <t>exp014 ＋ MiniLM のスコアも両方</t>
        </is>
      </c>
      <c r="F16" s="12" t="inlineStr">
        <is>
          <t>exp014</t>
        </is>
      </c>
      <c r="G16" s="13" t="n">
        <v>0.44011</v>
      </c>
      <c r="H16" s="13" t="n"/>
      <c r="I16" s="13" t="n"/>
      <c r="J16" s="15">
        <f>IF(H16="","",H16-G16)</f>
        <v/>
      </c>
      <c r="K16" s="15">
        <f>IF(F16="","",G16-INDEX($G:$G,MATCH(F16,$B:$B,0)))</f>
        <v/>
      </c>
      <c r="L16" s="15">
        <f>IF(OR(F16="",H16=""),"",IFERROR(IF(INDEX($H:$H,MATCH(F16,$B:$B,0))="","",H16-INDEX($H:$H,MATCH(F16,$B:$B,0))),""))</f>
        <v/>
      </c>
      <c r="M16" s="12" t="inlineStr">
        <is>
          <t>不採用</t>
        </is>
      </c>
      <c r="N16" s="12" t="inlineStr">
        <is>
          <t>同じ種類の情報で上乗せなし</t>
        </is>
      </c>
      <c r="O16" s="12" t="inlineStr">
        <is>
          <t>exp/exp015_rerank_both.py</t>
        </is>
      </c>
    </row>
    <row r="17">
      <c r="A17" s="8" t="n">
        <v>16</v>
      </c>
      <c r="B17" s="8" t="inlineStr">
        <is>
          <t>exp016</t>
        </is>
      </c>
      <c r="C17" s="8" t="inlineStr">
        <is>
          <t>2026-10-17</t>
        </is>
      </c>
      <c r="D17" s="8" t="inlineStr">
        <is>
          <t>チューニング</t>
        </is>
      </c>
      <c r="E17" s="8" t="inlineStr">
        <is>
          <t>LightGBM のハイパーパラメータを Optuna で調整（30 回）＋ learning_rate 0.02</t>
        </is>
      </c>
      <c r="F17" s="8" t="inlineStr">
        <is>
          <t>exp014</t>
        </is>
      </c>
      <c r="G17" s="9" t="n">
        <v>0.43841</v>
      </c>
      <c r="H17" s="10" t="n">
        <v>0.4371</v>
      </c>
      <c r="I17" s="9" t="n"/>
      <c r="J17" s="11">
        <f>IF(H17="","",H17-G17)</f>
        <v/>
      </c>
      <c r="K17" s="11">
        <f>IF(F17="","",G17-INDEX($G:$G,MATCH(F17,$B:$B,0)))</f>
        <v/>
      </c>
      <c r="L17" s="11">
        <f>IF(OR(F17="",H17=""),"",IFERROR(IF(INDEX($H:$H,MATCH(F17,$B:$B,0))="","",H17-INDEX($H:$H,MATCH(F17,$B:$B,0))),""))</f>
        <v/>
      </c>
      <c r="M17" s="8" t="inlineStr">
        <is>
          <t>採用</t>
        </is>
      </c>
      <c r="N17" s="8" t="inlineStr">
        <is>
          <t>小さく慎重な木 + 強い L1 + feature_fraction 0.31。改善の大半はパラメータ（lr の効果は −0.0003）</t>
        </is>
      </c>
      <c r="O17" s="8" t="inlineStr">
        <is>
          <t>exp/exp016_tuning.py</t>
        </is>
      </c>
    </row>
    <row r="18">
      <c r="A18" s="8" t="n">
        <v>17</v>
      </c>
      <c r="B18" s="8" t="inlineStr">
        <is>
          <t>exp017</t>
        </is>
      </c>
      <c r="C18" s="8" t="inlineStr">
        <is>
          <t>2026-10-18</t>
        </is>
      </c>
      <c r="D18" s="8" t="inlineStr">
        <is>
          <t>特徴量</t>
        </is>
      </c>
      <c r="E18" s="8" t="inlineStr">
        <is>
          <t>＋ 同じ検索語の中で比べた相対的な特徴量（平均・最大との差、順位）</t>
        </is>
      </c>
      <c r="F18" s="8" t="inlineStr">
        <is>
          <t>exp016</t>
        </is>
      </c>
      <c r="G18" s="9" t="n">
        <v>0.43582</v>
      </c>
      <c r="H18" s="10" t="n">
        <v>0.43452</v>
      </c>
      <c r="I18" s="9" t="n"/>
      <c r="J18" s="11">
        <f>IF(H18="","",H18-G18)</f>
        <v/>
      </c>
      <c r="K18" s="11">
        <f>IF(F18="","",G18-INDEX($G:$G,MATCH(F18,$B:$B,0)))</f>
        <v/>
      </c>
      <c r="L18" s="11">
        <f>IF(OR(F18="",H18=""),"",IFERROR(IF(INDEX($H:$H,MATCH(F18,$B:$B,0))="","",H18-INDEX($H:$H,MATCH(F18,$B:$B,0))),""))</f>
        <v/>
      </c>
      <c r="M18" s="8" t="inlineStr">
        <is>
          <t>採用</t>
        </is>
      </c>
      <c r="N18" s="8" t="inlineStr">
        <is>
          <t>手軽で効果大。q_size（検索語の商品数）はデータの作り方由来の偏り</t>
        </is>
      </c>
      <c r="O18" s="8" t="inlineStr">
        <is>
          <t>exp/exp017_query_relative.py</t>
        </is>
      </c>
    </row>
    <row r="19">
      <c r="A19" s="8" t="n">
        <v>18</v>
      </c>
      <c r="B19" s="8" t="inlineStr">
        <is>
          <t>exp018</t>
        </is>
      </c>
      <c r="C19" s="8" t="inlineStr">
        <is>
          <t>2026-10-18</t>
        </is>
      </c>
      <c r="D19" s="8" t="inlineStr">
        <is>
          <t>ファインチューニング</t>
        </is>
      </c>
      <c r="E19" s="8" t="inlineStr">
        <is>
          <t>＋ ファインチューニングした cross-encoder（bge-reranker-base、検索語×タイトル、out-of-fold）</t>
        </is>
      </c>
      <c r="F19" s="8" t="inlineStr">
        <is>
          <t>exp017</t>
        </is>
      </c>
      <c r="G19" s="9" t="n">
        <v>0.42836</v>
      </c>
      <c r="H19" s="10" t="n">
        <v>0.4281</v>
      </c>
      <c r="I19" s="9" t="n"/>
      <c r="J19" s="11">
        <f>IF(H19="","",H19-G19)</f>
        <v/>
      </c>
      <c r="K19" s="11">
        <f>IF(F19="","",G19-INDEX($G:$G,MATCH(F19,$B:$B,0)))</f>
        <v/>
      </c>
      <c r="L19" s="11">
        <f>IF(OR(F19="",H19=""),"",IFERROR(IF(INDEX($H:$H,MATCH(F19,$B:$B,0))="","",H19-INDEX($H:$H,MATCH(F19,$B:$B,0))),""))</f>
        <v/>
      </c>
      <c r="M19" s="8" t="inlineStr">
        <is>
          <t>採用</t>
        </is>
      </c>
      <c r="N19" s="8" t="inlineStr">
        <is>
          <t>単独で相関 0.554。DeBERTa（mxbai-rerank）は transformers 5.x で NaN になり断念</t>
        </is>
      </c>
      <c r="O19" s="8" t="inlineStr">
        <is>
          <t>exp/exp018_finetune_ce.py</t>
        </is>
      </c>
    </row>
    <row r="20">
      <c r="A20" s="12" t="n">
        <v>19</v>
      </c>
      <c r="B20" s="12" t="inlineStr">
        <is>
          <t>exp019</t>
        </is>
      </c>
      <c r="C20" s="12" t="inlineStr">
        <is>
          <t>2026-10-18</t>
        </is>
      </c>
      <c r="D20" s="12" t="inlineStr">
        <is>
          <t>特徴量</t>
        </is>
      </c>
      <c r="E20" s="12" t="inlineStr">
        <is>
          <t>＋ 検索語とタイトルの主語（商品の種類）の一致</t>
        </is>
      </c>
      <c r="F20" s="12" t="inlineStr">
        <is>
          <t>exp018</t>
        </is>
      </c>
      <c r="G20" s="13" t="n">
        <v>0.42835</v>
      </c>
      <c r="H20" s="13" t="n"/>
      <c r="I20" s="13" t="n"/>
      <c r="J20" s="15">
        <f>IF(H20="","",H20-G20)</f>
        <v/>
      </c>
      <c r="K20" s="15">
        <f>IF(F20="","",G20-INDEX($G:$G,MATCH(F20,$B:$B,0)))</f>
        <v/>
      </c>
      <c r="L20" s="15">
        <f>IF(OR(F20="",H20=""),"",IFERROR(IF(INDEX($H:$H,MATCH(F20,$B:$B,0))="","",H20-INDEX($H:$H,MATCH(F20,$B:$B,0))),""))</f>
        <v/>
      </c>
      <c r="M20" s="12" t="inlineStr">
        <is>
          <t>不採用</t>
        </is>
      </c>
      <c r="N20" s="12" t="inlineStr">
        <is>
          <t>誤差分析の「付属品の取り違え」は、実はラベルのノイズだった</t>
        </is>
      </c>
      <c r="O20" s="12" t="inlineStr">
        <is>
          <t>exp/exp019_head_match.py</t>
        </is>
      </c>
    </row>
    <row r="21">
      <c r="A21" s="8" t="n">
        <v>20</v>
      </c>
      <c r="B21" s="8" t="inlineStr">
        <is>
          <t>exp020</t>
        </is>
      </c>
      <c r="C21" s="8" t="inlineStr">
        <is>
          <t>2026-10-18</t>
        </is>
      </c>
      <c r="D21" s="8" t="inlineStr">
        <is>
          <t>ファインチューニング</t>
        </is>
      </c>
      <c r="E21" s="8" t="inlineStr">
        <is>
          <t>＋ ファインチューニング（bge-reranker-base、検索語×タイトル + 説明文）</t>
        </is>
      </c>
      <c r="F21" s="8" t="inlineStr">
        <is>
          <t>exp018</t>
        </is>
      </c>
      <c r="G21" s="9" t="n">
        <v>0.42615</v>
      </c>
      <c r="H21" s="10" t="n">
        <v>0.42668</v>
      </c>
      <c r="I21" s="9" t="n"/>
      <c r="J21" s="11">
        <f>IF(H21="","",H21-G21)</f>
        <v/>
      </c>
      <c r="K21" s="11">
        <f>IF(F21="","",G21-INDEX($G:$G,MATCH(F21,$B:$B,0)))</f>
        <v/>
      </c>
      <c r="L21" s="11">
        <f>IF(OR(F21="",H21=""),"",IFERROR(IF(INDEX($H:$H,MATCH(F21,$B:$B,0))="","",H21-INDEX($H:$H,MATCH(F21,$B:$B,0))),""))</f>
        <v/>
      </c>
      <c r="M21" s="8" t="inlineStr">
        <is>
          <t>採用</t>
        </is>
      </c>
      <c r="N21" s="8" t="inlineStr">
        <is>
          <t>説明文を入れると単独で −0.0046。この頃から LB が CV より悪くなり始める</t>
        </is>
      </c>
      <c r="O21" s="8" t="inlineStr">
        <is>
          <t>exp/exp020_finetune_ce_desc.py</t>
        </is>
      </c>
    </row>
    <row r="22">
      <c r="A22" s="8" t="n">
        <v>21</v>
      </c>
      <c r="B22" s="8" t="inlineStr">
        <is>
          <t>exp021</t>
        </is>
      </c>
      <c r="C22" s="8" t="inlineStr">
        <is>
          <t>2026-10-19</t>
        </is>
      </c>
      <c r="D22" s="8" t="inlineStr">
        <is>
          <t>ファインチューニング</t>
        </is>
      </c>
      <c r="E22" s="8" t="inlineStr">
        <is>
          <t>＋ 大きいモデル（bge-reranker-v2-m3、タイトル）</t>
        </is>
      </c>
      <c r="F22" s="8" t="inlineStr">
        <is>
          <t>exp020</t>
        </is>
      </c>
      <c r="G22" s="9" t="n">
        <v>0.42283</v>
      </c>
      <c r="H22" s="9" t="n"/>
      <c r="I22" s="9" t="n"/>
      <c r="J22" s="11">
        <f>IF(H22="","",H22-G22)</f>
        <v/>
      </c>
      <c r="K22" s="11">
        <f>IF(F22="","",G22-INDEX($G:$G,MATCH(F22,$B:$B,0)))</f>
        <v/>
      </c>
      <c r="L22" s="11">
        <f>IF(OR(F22="",H22=""),"",IFERROR(IF(INDEX($H:$H,MATCH(F22,$B:$B,0))="","",H22-INDEX($H:$H,MATCH(F22,$B:$B,0))),""))</f>
        <v/>
      </c>
      <c r="M22" s="8" t="inlineStr">
        <is>
          <t>採用</t>
        </is>
      </c>
      <c r="N22" s="8" t="inlineStr">
        <is>
          <t>単語の埋め込み層の固定 + 8bit AdamW で 8GB に収めた（約 8 倍速）</t>
        </is>
      </c>
      <c r="O22" s="8" t="inlineStr">
        <is>
          <t>exp/exp021_finetune_ce_large.py</t>
        </is>
      </c>
    </row>
    <row r="23">
      <c r="A23" s="8" t="n">
        <v>22</v>
      </c>
      <c r="B23" s="8" t="inlineStr">
        <is>
          <t>exp022</t>
        </is>
      </c>
      <c r="C23" s="8" t="inlineStr">
        <is>
          <t>2026-10-19</t>
        </is>
      </c>
      <c r="D23" s="8" t="inlineStr">
        <is>
          <t>ファインチューニング</t>
        </is>
      </c>
      <c r="E23" s="8" t="inlineStr">
        <is>
          <t>＋ 大きいモデル（v2-m3、タイトル + 説明文）</t>
        </is>
      </c>
      <c r="F23" s="8" t="inlineStr">
        <is>
          <t>exp021</t>
        </is>
      </c>
      <c r="G23" s="9" t="n">
        <v>0.42098</v>
      </c>
      <c r="H23" s="10" t="n">
        <v>0.42315</v>
      </c>
      <c r="I23" s="9" t="n"/>
      <c r="J23" s="11">
        <f>IF(H23="","",H23-G23)</f>
        <v/>
      </c>
      <c r="K23" s="11">
        <f>IF(F23="","",G23-INDEX($G:$G,MATCH(F23,$B:$B,0)))</f>
        <v/>
      </c>
      <c r="L23" s="11">
        <f>IF(OR(F23="",H23=""),"",IFERROR(IF(INDEX($H:$H,MATCH(F23,$B:$B,0))="","",H23-INDEX($H:$H,MATCH(F23,$B:$B,0))),""))</f>
        <v/>
      </c>
      <c r="M23" s="8" t="inlineStr">
        <is>
          <t>採用</t>
        </is>
      </c>
      <c r="N23" s="8" t="inlineStr">
        <is>
          <t>予測を fp32 でまとめて行うとメモリがあふれ停滞 → bf16 予測に修正</t>
        </is>
      </c>
      <c r="O23" s="8" t="inlineStr">
        <is>
          <t>exp/exp022_finetune_ce_large_desc.py</t>
        </is>
      </c>
    </row>
    <row r="24">
      <c r="A24" s="12" t="n">
        <v>23</v>
      </c>
      <c r="B24" s="12" t="inlineStr">
        <is>
          <t>exp023</t>
        </is>
      </c>
      <c r="C24" s="12" t="inlineStr">
        <is>
          <t>2026-10-19</t>
        </is>
      </c>
      <c r="D24" s="12" t="inlineStr">
        <is>
          <t>アンサンブル</t>
        </is>
      </c>
      <c r="E24" s="12" t="inlineStr">
        <is>
          <t>24 メンバー（LGB/XGB/Cat/Ridge/RF/ET/kNN/MLP）を OOF で重み最適化</t>
        </is>
      </c>
      <c r="F24" s="12" t="inlineStr">
        <is>
          <t>exp022</t>
        </is>
      </c>
      <c r="G24" s="13" t="n">
        <v>0.41938</v>
      </c>
      <c r="H24" s="14" t="n">
        <v>0.42338</v>
      </c>
      <c r="I24" s="13" t="n"/>
      <c r="J24" s="15">
        <f>IF(H24="","",H24-G24)</f>
        <v/>
      </c>
      <c r="K24" s="15">
        <f>IF(F24="","",G24-INDEX($G:$G,MATCH(F24,$B:$B,0)))</f>
        <v/>
      </c>
      <c r="L24" s="15">
        <f>IF(OR(F24="",H24=""),"",IFERROR(IF(INDEX($H:$H,MATCH(F24,$B:$B,0))="","",H24-INDEX($H:$H,MATCH(F24,$B:$B,0))),""))</f>
        <v/>
      </c>
      <c r="M24" s="12" t="inlineStr">
        <is>
          <t>不採用</t>
        </is>
      </c>
      <c r="N24" s="12" t="inlineStr">
        <is>
          <t>CV では改善したが LB は悪化。重みは Ridge・MLP・RF など LGB と性質の違うモデルに集中</t>
        </is>
      </c>
      <c r="O24" s="12" t="inlineStr">
        <is>
          <t>exp/exp023_blend.py</t>
        </is>
      </c>
    </row>
    <row r="25">
      <c r="A25" s="8" t="n">
        <v>24</v>
      </c>
      <c r="B25" s="8" t="inlineStr">
        <is>
          <t>exp024_lgb</t>
        </is>
      </c>
      <c r="C25" s="8" t="inlineStr">
        <is>
          <t>2026-10-19</t>
        </is>
      </c>
      <c r="D25" s="8" t="inlineStr">
        <is>
          <t>検証・対策</t>
        </is>
      </c>
      <c r="E25" s="8" t="inlineStr">
        <is>
          <t>test のファインチューニングのスコアを fold ごとのモデルの予測にそろえる（LightGBM 単体）</t>
        </is>
      </c>
      <c r="F25" s="8" t="inlineStr">
        <is>
          <t>exp022</t>
        </is>
      </c>
      <c r="G25" s="9" t="n">
        <v>0.42099</v>
      </c>
      <c r="H25" s="10" t="n">
        <v>0.42257</v>
      </c>
      <c r="I25" s="10" t="n">
        <v>0.42444</v>
      </c>
      <c r="J25" s="11">
        <f>IF(H25="","",H25-G25)</f>
        <v/>
      </c>
      <c r="K25" s="11">
        <f>IF(F25="","",G25-INDEX($G:$G,MATCH(F25,$B:$B,0)))</f>
        <v/>
      </c>
      <c r="L25" s="11">
        <f>IF(OR(F25="",H25=""),"",IFERROR(IF(INDEX($H:$H,MATCH(F25,$B:$B,0))="","",H25-INDEX($H:$H,MATCH(F25,$B:$B,0))),""))</f>
        <v/>
      </c>
      <c r="M25" s="8" t="inlineStr">
        <is>
          <t>採用</t>
        </is>
      </c>
      <c r="N25" s="8" t="inlineStr">
        <is>
          <t>train は 1 モデルの予測、test は 5 モデルの平均というずれを解消。LB −0.0006</t>
        </is>
      </c>
      <c r="O25" s="8" t="inlineStr">
        <is>
          <t>output/exp024/submission_lgb.csv</t>
        </is>
      </c>
    </row>
    <row r="26">
      <c r="A26" s="12" t="n">
        <v>25</v>
      </c>
      <c r="B26" s="12" t="inlineStr">
        <is>
          <t>exp024_blend</t>
        </is>
      </c>
      <c r="C26" s="12" t="inlineStr">
        <is>
          <t>2026-10-19</t>
        </is>
      </c>
      <c r="D26" s="12" t="inlineStr">
        <is>
          <t>検証・対策</t>
        </is>
      </c>
      <c r="E26" s="12" t="inlineStr">
        <is>
          <t>同上（アンサンブル）</t>
        </is>
      </c>
      <c r="F26" s="12" t="inlineStr">
        <is>
          <t>exp023</t>
        </is>
      </c>
      <c r="G26" s="13" t="n">
        <v>0.4192</v>
      </c>
      <c r="H26" s="14" t="n">
        <v>0.42282</v>
      </c>
      <c r="I26" s="14" t="n">
        <v>0.42485</v>
      </c>
      <c r="J26" s="15">
        <f>IF(H26="","",H26-G26)</f>
        <v/>
      </c>
      <c r="K26" s="15">
        <f>IF(F26="","",G26-INDEX($G:$G,MATCH(F26,$B:$B,0)))</f>
        <v/>
      </c>
      <c r="L26" s="15">
        <f>IF(OR(F26="",H26=""),"",IFERROR(IF(INDEX($H:$H,MATCH(F26,$B:$B,0))="","",H26-INDEX($H:$H,MATCH(F26,$B:$B,0))),""))</f>
        <v/>
      </c>
      <c r="M26" s="12" t="inlineStr">
        <is>
          <t>不採用</t>
        </is>
      </c>
      <c r="N26" s="12" t="inlineStr">
        <is>
          <t>対策で LB −0.0006 だが LGB 単体に及ばず</t>
        </is>
      </c>
      <c r="O26" s="12" t="inlineStr">
        <is>
          <t>exp/exp024_blend.py</t>
        </is>
      </c>
    </row>
    <row r="27">
      <c r="A27" s="8" t="n">
        <v>26</v>
      </c>
      <c r="B27" s="8" t="inlineStr">
        <is>
          <t>exp025_lgb</t>
        </is>
      </c>
      <c r="C27" s="8" t="inlineStr">
        <is>
          <t>2026-10-20</t>
        </is>
      </c>
      <c r="D27" s="8" t="inlineStr">
        <is>
          <t>ファインチューニング</t>
        </is>
      </c>
      <c r="E27" s="8" t="inlineStr">
        <is>
          <t>v2-m3（タイトル + 説明文）を 2 つの種で平均（LightGBM 単体）</t>
        </is>
      </c>
      <c r="F27" s="8" t="inlineStr">
        <is>
          <t>exp024_lgb</t>
        </is>
      </c>
      <c r="G27" s="9" t="n">
        <v>0.4203</v>
      </c>
      <c r="H27" s="9" t="n"/>
      <c r="I27" s="9" t="n"/>
      <c r="J27" s="11">
        <f>IF(H27="","",H27-G27)</f>
        <v/>
      </c>
      <c r="K27" s="11">
        <f>IF(F27="","",G27-INDEX($G:$G,MATCH(F27,$B:$B,0)))</f>
        <v/>
      </c>
      <c r="L27" s="11">
        <f>IF(OR(F27="",H27=""),"",IFERROR(IF(INDEX($H:$H,MATCH(F27,$B:$B,0))="","",H27-INDEX($H:$H,MATCH(F27,$B:$B,0))),""))</f>
        <v/>
      </c>
      <c r="M27" s="8" t="inlineStr">
        <is>
          <t>採用</t>
        </is>
      </c>
      <c r="N27" s="8" t="inlineStr">
        <is>
          <t>単独 0.43708 → 0.43407。8 時間の不在中に独立プロセスで実行</t>
        </is>
      </c>
      <c r="O27" s="8" t="inlineStr">
        <is>
          <t>output/exp025/submission_lgb.csv</t>
        </is>
      </c>
    </row>
    <row r="28">
      <c r="A28" s="8" t="n">
        <v>27</v>
      </c>
      <c r="B28" s="8" t="inlineStr">
        <is>
          <t>exp026_lgb</t>
        </is>
      </c>
      <c r="C28" s="8" t="inlineStr">
        <is>
          <t>2026-10-20</t>
        </is>
      </c>
      <c r="D28" s="8" t="inlineStr">
        <is>
          <t>ファインチューニング</t>
        </is>
      </c>
      <c r="E28" s="8" t="inlineStr">
        <is>
          <t>v2-m3（タイトルのみ）も 2 つの種で平均（LightGBM 単体）</t>
        </is>
      </c>
      <c r="F28" s="8" t="inlineStr">
        <is>
          <t>exp025_lgb</t>
        </is>
      </c>
      <c r="G28" s="9" t="n">
        <v>0.42015</v>
      </c>
      <c r="H28" s="10" t="n">
        <v>0.42254</v>
      </c>
      <c r="I28" s="10" t="n">
        <v>0.42439</v>
      </c>
      <c r="J28" s="11">
        <f>IF(H28="","",H28-G28)</f>
        <v/>
      </c>
      <c r="K28" s="11">
        <f>IF(F28="","",G28-INDEX($G:$G,MATCH(F28,$B:$B,0)))</f>
        <v/>
      </c>
      <c r="L28" s="11">
        <f>IF(OR(F28="",H28=""),"",IFERROR(IF(INDEX($H:$H,MATCH(F28,$B:$B,0))="","",H28-INDEX($H:$H,MATCH(F28,$B:$B,0))),""))</f>
        <v/>
      </c>
      <c r="M28" s="8" t="inlineStr">
        <is>
          <t>採用</t>
        </is>
      </c>
      <c r="N28" s="8" t="inlineStr">
        <is>
          <t>種の平均は CV では効くが LB にはほぼ効かず</t>
        </is>
      </c>
      <c r="O28" s="8" t="inlineStr">
        <is>
          <t>output/exp026/submission_lgb.csv</t>
        </is>
      </c>
    </row>
    <row r="29">
      <c r="A29" s="12" t="n">
        <v>28</v>
      </c>
      <c r="B29" s="12" t="inlineStr">
        <is>
          <t>exp026_blend</t>
        </is>
      </c>
      <c r="C29" s="12" t="inlineStr">
        <is>
          <t>2026-10-20</t>
        </is>
      </c>
      <c r="D29" s="12" t="inlineStr">
        <is>
          <t>アンサンブル</t>
        </is>
      </c>
      <c r="E29" s="12" t="inlineStr">
        <is>
          <t>同上（アンサンブル）</t>
        </is>
      </c>
      <c r="F29" s="12" t="inlineStr">
        <is>
          <t>exp024_blend</t>
        </is>
      </c>
      <c r="G29" s="13" t="n">
        <v>0.41854</v>
      </c>
      <c r="H29" s="14" t="n">
        <v>0.42268</v>
      </c>
      <c r="I29" s="14" t="n">
        <v>0.42461</v>
      </c>
      <c r="J29" s="15">
        <f>IF(H29="","",H29-G29)</f>
        <v/>
      </c>
      <c r="K29" s="15">
        <f>IF(F29="","",G29-INDEX($G:$G,MATCH(F29,$B:$B,0)))</f>
        <v/>
      </c>
      <c r="L29" s="15">
        <f>IF(OR(F29="",H29=""),"",IFERROR(IF(INDEX($H:$H,MATCH(F29,$B:$B,0))="","",H29-INDEX($H:$H,MATCH(F29,$B:$B,0))),""))</f>
        <v/>
      </c>
      <c r="M29" s="12" t="inlineStr">
        <is>
          <t>不採用</t>
        </is>
      </c>
      <c r="N29" s="12" t="inlineStr">
        <is>
          <t>LGB 単体に及ばず</t>
        </is>
      </c>
      <c r="O29" s="12" t="inlineStr">
        <is>
          <t>exp/exp026_run.py</t>
        </is>
      </c>
    </row>
    <row r="30">
      <c r="A30" s="12" t="n">
        <v>29</v>
      </c>
      <c r="B30" s="12" t="inlineStr">
        <is>
          <t>exp027</t>
        </is>
      </c>
      <c r="C30" s="12" t="inlineStr">
        <is>
          <t>2026-10-20</t>
        </is>
      </c>
      <c r="D30" s="12" t="inlineStr">
        <is>
          <t>特徴量選択</t>
        </is>
      </c>
      <c r="E30" s="12" t="inlineStr">
        <is>
          <t>LightGBM で数値の特徴量 80 列だけ使う（埋め込み・TF-IDF ベクトルを外す）</t>
        </is>
      </c>
      <c r="F30" s="12" t="inlineStr">
        <is>
          <t>exp026_lgb</t>
        </is>
      </c>
      <c r="G30" s="13" t="n">
        <v>0.41776</v>
      </c>
      <c r="H30" s="14" t="n">
        <v>0.42354</v>
      </c>
      <c r="I30" s="14" t="n">
        <v>0.42547</v>
      </c>
      <c r="J30" s="15">
        <f>IF(H30="","",H30-G30)</f>
        <v/>
      </c>
      <c r="K30" s="15">
        <f>IF(F30="","",G30-INDEX($G:$G,MATCH(F30,$B:$B,0)))</f>
        <v/>
      </c>
      <c r="L30" s="15">
        <f>IF(OR(F30="",H30=""),"",IFERROR(IF(INDEX($H:$H,MATCH(F30,$B:$B,0))="","",H30-INDEX($H:$H,MATCH(F30,$B:$B,0))),""))</f>
        <v/>
      </c>
      <c r="M30" s="12" t="inlineStr">
        <is>
          <t>不採用</t>
        </is>
      </c>
      <c r="N30" s="12" t="inlineStr">
        <is>
          <t>CV −0.0024 なのに LB +0.0010。ファインチューニングのスコアへの依存を強めると LB で悪化</t>
        </is>
      </c>
      <c r="O30" s="12" t="inlineStr">
        <is>
          <t>output/exp027/submission_num.csv</t>
        </is>
      </c>
    </row>
    <row r="31">
      <c r="A31" s="12" t="n">
        <v>30</v>
      </c>
      <c r="B31" s="12" t="inlineStr">
        <is>
          <t>exp028_all</t>
        </is>
      </c>
      <c r="C31" s="12" t="inlineStr">
        <is>
          <t>2026-10-21</t>
        </is>
      </c>
      <c r="D31" s="12" t="inlineStr">
        <is>
          <t>検証・対策</t>
        </is>
      </c>
      <c r="E31" s="12" t="inlineStr">
        <is>
          <t>train にある検索語の test 行は、その検索語を見ていない fold のモデルのスコアを使う</t>
        </is>
      </c>
      <c r="F31" s="12" t="inlineStr">
        <is>
          <t>exp026_lgb</t>
        </is>
      </c>
      <c r="G31" s="13" t="n">
        <v>0.42015</v>
      </c>
      <c r="H31" s="14" t="n">
        <v>0.4234</v>
      </c>
      <c r="I31" s="14" t="n">
        <v>0.42529</v>
      </c>
      <c r="J31" s="15">
        <f>IF(H31="","",H31-G31)</f>
        <v/>
      </c>
      <c r="K31" s="15">
        <f>IF(F31="","",G31-INDEX($G:$G,MATCH(F31,$B:$B,0)))</f>
        <v/>
      </c>
      <c r="L31" s="15">
        <f>IF(OR(F31="",H31=""),"",IFERROR(IF(INDEX($H:$H,MATCH(F31,$B:$B,0))="","",H31-INDEX($H:$H,MATCH(F31,$B:$B,0))),""))</f>
        <v/>
      </c>
      <c r="M31" s="12" t="inlineStr">
        <is>
          <t>不採用</t>
        </is>
      </c>
      <c r="N31" s="12" t="inlineStr">
        <is>
          <t>仮説は外れ。見た検索語の高めのスコアは正しい情報だった</t>
        </is>
      </c>
      <c r="O31" s="12" t="inlineStr">
        <is>
          <t>output/exp028/submission_all.csv</t>
        </is>
      </c>
    </row>
    <row r="32">
      <c r="A32" s="12" t="n">
        <v>31</v>
      </c>
      <c r="B32" s="12" t="inlineStr">
        <is>
          <t>exp028_num</t>
        </is>
      </c>
      <c r="C32" s="12" t="inlineStr">
        <is>
          <t>2026-10-21</t>
        </is>
      </c>
      <c r="D32" s="12" t="inlineStr">
        <is>
          <t>検証・対策</t>
        </is>
      </c>
      <c r="E32" s="12" t="inlineStr">
        <is>
          <t>同上（数値の特徴量だけ）</t>
        </is>
      </c>
      <c r="F32" s="12" t="inlineStr">
        <is>
          <t>exp027</t>
        </is>
      </c>
      <c r="G32" s="13" t="n">
        <v>0.41776</v>
      </c>
      <c r="H32" s="14" t="n">
        <v>0.42434</v>
      </c>
      <c r="I32" s="14" t="n">
        <v>0.42636</v>
      </c>
      <c r="J32" s="15">
        <f>IF(H32="","",H32-G32)</f>
        <v/>
      </c>
      <c r="K32" s="15">
        <f>IF(F32="","",G32-INDEX($G:$G,MATCH(F32,$B:$B,0)))</f>
        <v/>
      </c>
      <c r="L32" s="15">
        <f>IF(OR(F32="",H32=""),"",IFERROR(IF(INDEX($H:$H,MATCH(F32,$B:$B,0))="","",H32-INDEX($H:$H,MATCH(F32,$B:$B,0))),""))</f>
        <v/>
      </c>
      <c r="M32" s="12" t="inlineStr">
        <is>
          <t>不採用</t>
        </is>
      </c>
      <c r="N32" s="12" t="inlineStr">
        <is>
          <t>同上</t>
        </is>
      </c>
      <c r="O32" s="12" t="inlineStr">
        <is>
          <t>output/exp028/submission_num.csv</t>
        </is>
      </c>
    </row>
    <row r="33">
      <c r="A33" s="8" t="n">
        <v>32</v>
      </c>
      <c r="B33" s="8" t="inlineStr">
        <is>
          <t>exp029_all</t>
        </is>
      </c>
      <c r="C33" s="8" t="inlineStr">
        <is>
          <t>2026-10-27</t>
        </is>
      </c>
      <c r="D33" s="8" t="inlineStr">
        <is>
          <t>ファインチューニング</t>
        </is>
      </c>
      <c r="E33" s="8" t="inlineStr">
        <is>
          <t>＋ ファインチューニングした DeBERTa（mxbai-rerank-base-v1、タイトル + 説明文、transformers 4.49）</t>
        </is>
      </c>
      <c r="F33" s="8" t="inlineStr">
        <is>
          <t>exp026_lgb</t>
        </is>
      </c>
      <c r="G33" s="9" t="n">
        <v>0.41812</v>
      </c>
      <c r="H33" s="10" t="n">
        <v>0.42011</v>
      </c>
      <c r="I33" s="10" t="n">
        <v>0.42207</v>
      </c>
      <c r="J33" s="11">
        <f>IF(H33="","",H33-G33)</f>
        <v/>
      </c>
      <c r="K33" s="11">
        <f>IF(F33="","",G33-INDEX($G:$G,MATCH(F33,$B:$B,0)))</f>
        <v/>
      </c>
      <c r="L33" s="11">
        <f>IF(OR(F33="",H33=""),"",IFERROR(IF(INDEX($H:$H,MATCH(F33,$B:$B,0))="","",H33-INDEX($H:$H,MATCH(F33,$B:$B,0))),""))</f>
        <v/>
      </c>
      <c r="M33" s="8" t="inlineStr">
        <is>
          <t>採用</t>
        </is>
      </c>
      <c r="N33" s="8" t="inlineStr">
        <is>
          <t>1.8 億で v2-m3（5.7 億）と同精度。系統の違うモデルは LB でもしっかり効く。学習は 7 時間（GPU メモリがあふれ気味）</t>
        </is>
      </c>
      <c r="O33" s="8" t="inlineStr">
        <is>
          <t>output/exp029/submission_all.csv</t>
        </is>
      </c>
    </row>
    <row r="34">
      <c r="A34" s="16" t="n">
        <v>33</v>
      </c>
      <c r="B34" s="16" t="inlineStr">
        <is>
          <t>exp029_num</t>
        </is>
      </c>
      <c r="C34" s="16" t="inlineStr">
        <is>
          <t>2026-10-27</t>
        </is>
      </c>
      <c r="D34" s="16" t="inlineStr">
        <is>
          <t>特徴量選択</t>
        </is>
      </c>
      <c r="E34" s="16" t="inlineStr">
        <is>
          <t>同上（数値の特徴量 84 列だけ、参考）</t>
        </is>
      </c>
      <c r="F34" s="16" t="inlineStr">
        <is>
          <t>exp029_all</t>
        </is>
      </c>
      <c r="G34" s="17" t="n">
        <v>0.41547</v>
      </c>
      <c r="H34" s="17" t="n"/>
      <c r="I34" s="17" t="n"/>
      <c r="J34" s="18">
        <f>IF(H34="","",H34-G34)</f>
        <v/>
      </c>
      <c r="K34" s="18">
        <f>IF(F34="","",G34-INDEX($G:$G,MATCH(F34,$B:$B,0)))</f>
        <v/>
      </c>
      <c r="L34" s="18">
        <f>IF(OR(F34="",H34=""),"",IFERROR(IF(INDEX($H:$H,MATCH(F34,$B:$B,0))="","",H34-INDEX($H:$H,MATCH(F34,$B:$B,0))),""))</f>
        <v/>
      </c>
      <c r="M34" s="16" t="inlineStr">
        <is>
          <t>参考</t>
        </is>
      </c>
      <c r="N34" s="16" t="inlineStr">
        <is>
          <t>未提出</t>
        </is>
      </c>
      <c r="O34" s="16" t="inlineStr">
        <is>
          <t>output/exp029/submission_num.csv</t>
        </is>
      </c>
    </row>
    <row r="35">
      <c r="A35" s="8" t="n">
        <v>34</v>
      </c>
      <c r="B35" s="8" t="inlineStr">
        <is>
          <t>exp030_all</t>
        </is>
      </c>
      <c r="C35" s="8" t="inlineStr">
        <is>
          <t>2026-10-28</t>
        </is>
      </c>
      <c r="D35" s="8" t="inlineStr">
        <is>
          <t>ファインチューニング</t>
        </is>
      </c>
      <c r="E35" s="8" t="inlineStr">
        <is>
          <t>＋ ファインチューニングした DeBERTa（検索語 × タイトル）</t>
        </is>
      </c>
      <c r="F35" s="8" t="inlineStr">
        <is>
          <t>exp029_all</t>
        </is>
      </c>
      <c r="G35" s="9" t="n">
        <v>0.41776</v>
      </c>
      <c r="H35" s="10" t="n">
        <v>0.41998</v>
      </c>
      <c r="I35" s="10" t="n">
        <v>0.42198</v>
      </c>
      <c r="J35" s="11">
        <f>IF(H35="","",H35-G35)</f>
        <v/>
      </c>
      <c r="K35" s="11">
        <f>IF(F35="","",G35-INDEX($G:$G,MATCH(F35,$B:$B,0)))</f>
        <v/>
      </c>
      <c r="L35" s="11">
        <f>IF(OR(F35="",H35=""),"",IFERROR(IF(INDEX($H:$H,MATCH(F35,$B:$B,0))="","",H35-INDEX($H:$H,MATCH(F35,$B:$B,0))),""))</f>
        <v/>
      </c>
      <c r="M35" s="8" t="inlineStr">
        <is>
          <t>採用</t>
        </is>
      </c>
      <c r="N35" s="8" t="inlineStr">
        <is>
          <t>LB はわずかに改善（Public −0.00009）。単独 0.43951 はタイトル版で最良。ただし DeBERTa（タイトル + 説明文）との相関 0.945 で、CV の上乗せは −0.0004 と小さい。学習は 1 時間</t>
        </is>
      </c>
      <c r="O35" s="8" t="inlineStr">
        <is>
          <t>output/exp030/submission_all.csv</t>
        </is>
      </c>
    </row>
    <row r="36">
      <c r="A36" s="16" t="n">
        <v>35</v>
      </c>
      <c r="B36" s="16" t="inlineStr">
        <is>
          <t>exp030_num</t>
        </is>
      </c>
      <c r="C36" s="16" t="inlineStr">
        <is>
          <t>2026-10-28</t>
        </is>
      </c>
      <c r="D36" s="16" t="inlineStr">
        <is>
          <t>特徴量選択</t>
        </is>
      </c>
      <c r="E36" s="16" t="inlineStr">
        <is>
          <t>同上（数値の特徴量 88 列だけ、参考）</t>
        </is>
      </c>
      <c r="F36" s="16" t="inlineStr">
        <is>
          <t>exp030_all</t>
        </is>
      </c>
      <c r="G36" s="17" t="n">
        <v>0.41521</v>
      </c>
      <c r="H36" s="17" t="n"/>
      <c r="I36" s="17" t="n"/>
      <c r="J36" s="18">
        <f>IF(H36="","",H36-G36)</f>
        <v/>
      </c>
      <c r="K36" s="18">
        <f>IF(F36="","",G36-INDEX($G:$G,MATCH(F36,$B:$B,0)))</f>
        <v/>
      </c>
      <c r="L36" s="18">
        <f>IF(OR(F36="",H36=""),"",IFERROR(IF(INDEX($H:$H,MATCH(F36,$B:$B,0))="","",H36-INDEX($H:$H,MATCH(F36,$B:$B,0))),""))</f>
        <v/>
      </c>
      <c r="M36" s="16" t="inlineStr">
        <is>
          <t>参考</t>
        </is>
      </c>
      <c r="N36" s="16" t="inlineStr">
        <is>
          <t>未提出</t>
        </is>
      </c>
      <c r="O36" s="16" t="inlineStr">
        <is>
          <t>output/exp030/submission_num.csv</t>
        </is>
      </c>
    </row>
    <row r="37">
      <c r="A37" s="8" t="n">
        <v>36</v>
      </c>
      <c r="B37" s="8" t="inlineStr">
        <is>
          <t>exp031_all</t>
        </is>
      </c>
      <c r="C37" s="8" t="inlineStr">
        <is>
          <t>2026-10-28</t>
        </is>
      </c>
      <c r="D37" s="8" t="inlineStr">
        <is>
          <t>ファインチューニング</t>
        </is>
      </c>
      <c r="E37" s="8" t="inlineStr">
        <is>
          <t>exp029 ＋ ファインチューニングした ModernBERT（gte-reranker-modernbert-base、タイトル + 説明文）</t>
        </is>
      </c>
      <c r="F37" s="8" t="inlineStr">
        <is>
          <t>exp029_all</t>
        </is>
      </c>
      <c r="G37" s="9" t="n">
        <v>0.41743</v>
      </c>
      <c r="H37" s="10" t="n">
        <v>0.4199</v>
      </c>
      <c r="I37" s="10" t="n">
        <v>0.42184</v>
      </c>
      <c r="J37" s="11">
        <f>IF(H37="","",H37-G37)</f>
        <v/>
      </c>
      <c r="K37" s="11">
        <f>IF(F37="","",G37-INDEX($G:$G,MATCH(F37,$B:$B,0)))</f>
        <v/>
      </c>
      <c r="L37" s="11">
        <f>IF(OR(F37="",H37=""),"",IFERROR(IF(INDEX($H:$H,MATCH(F37,$B:$B,0))="","",H37-INDEX($H:$H,MATCH(F37,$B:$B,0))),""))</f>
        <v/>
      </c>
      <c r="M37" s="8" t="inlineStr">
        <is>
          <t>採用</t>
        </is>
      </c>
      <c r="N37" s="8" t="inlineStr">
        <is>
          <t>LB で Public −0.00023、新しいベスト（exp030 とは別に exp029 に加えたもの）。別系統のリランカー。単独 0.43602 は全モデルで最良（1.5 億パラメータ）。ほかとの相関 0.87〜0.93。学習は 2 時間 40 分</t>
        </is>
      </c>
      <c r="O37" s="8" t="inlineStr">
        <is>
          <t>output/exp031/submission_all.csv</t>
        </is>
      </c>
    </row>
    <row r="38">
      <c r="A38" s="16" t="n">
        <v>37</v>
      </c>
      <c r="B38" s="16" t="inlineStr">
        <is>
          <t>exp031_num</t>
        </is>
      </c>
      <c r="C38" s="16" t="inlineStr">
        <is>
          <t>2026-10-28</t>
        </is>
      </c>
      <c r="D38" s="16" t="inlineStr">
        <is>
          <t>特徴量選択</t>
        </is>
      </c>
      <c r="E38" s="16" t="inlineStr">
        <is>
          <t>同上（数値の特徴量 88 列だけ、参考）</t>
        </is>
      </c>
      <c r="F38" s="16" t="inlineStr">
        <is>
          <t>exp031_all</t>
        </is>
      </c>
      <c r="G38" s="17" t="n">
        <v>0.41496</v>
      </c>
      <c r="H38" s="17" t="n"/>
      <c r="I38" s="17" t="n"/>
      <c r="J38" s="18">
        <f>IF(H38="","",H38-G38)</f>
        <v/>
      </c>
      <c r="K38" s="18">
        <f>IF(F38="","",G38-INDEX($G:$G,MATCH(F38,$B:$B,0)))</f>
        <v/>
      </c>
      <c r="L38" s="18">
        <f>IF(OR(F38="",H38=""),"",IFERROR(IF(INDEX($H:$H,MATCH(F38,$B:$B,0))="","",H38-INDEX($H:$H,MATCH(F38,$B:$B,0))),""))</f>
        <v/>
      </c>
      <c r="M38" s="16" t="inlineStr">
        <is>
          <t>参考</t>
        </is>
      </c>
      <c r="N38" s="16" t="inlineStr">
        <is>
          <t>未提出</t>
        </is>
      </c>
      <c r="O38" s="16" t="inlineStr">
        <is>
          <t>output/exp031/submission_num.csv</t>
        </is>
      </c>
    </row>
    <row r="39">
      <c r="A39" s="8" t="n">
        <v>38</v>
      </c>
      <c r="B39" s="8" t="inlineStr">
        <is>
          <t>exp032_all</t>
        </is>
      </c>
      <c r="C39" s="8" t="inlineStr">
        <is>
          <t>2026-10-28</t>
        </is>
      </c>
      <c r="D39" s="8" t="inlineStr">
        <is>
          <t>ファインチューニング</t>
        </is>
      </c>
      <c r="E39" s="8" t="inlineStr">
        <is>
          <t>exp029 ＋ ファインチューニングした Qwen3-Reranker-0.6B（LLM 系、タイトル）</t>
        </is>
      </c>
      <c r="F39" s="8" t="inlineStr">
        <is>
          <t>exp029_all</t>
        </is>
      </c>
      <c r="G39" s="9" t="n">
        <v>0.41759</v>
      </c>
      <c r="H39" s="10" t="n">
        <v>0.42004</v>
      </c>
      <c r="I39" s="10" t="n">
        <v>0.42201</v>
      </c>
      <c r="J39" s="11">
        <f>IF(H39="","",H39-G39)</f>
        <v/>
      </c>
      <c r="K39" s="11">
        <f>IF(F39="","",G39-INDEX($G:$G,MATCH(F39,$B:$B,0)))</f>
        <v/>
      </c>
      <c r="L39" s="11">
        <f>IF(OR(F39="",H39=""),"",IFERROR(IF(INDEX($H:$H,MATCH(F39,$B:$B,0))="","",H39-INDEX($H:$H,MATCH(F39,$B:$B,0))),""))</f>
        <v/>
      </c>
      <c r="M39" s="8" t="inlineStr">
        <is>
          <t>採用</t>
        </is>
      </c>
      <c r="N39" s="8" t="inlineStr">
        <is>
          <t>LB はごくわずかに改善（Public −0.00006）。CV の改善ほど LB には効かず。単独 0.44286 と弱めだが、ほかとの相関が最も低い（0.86〜0.90）。モデル固有の入力の形が必要。gradient checkpointing なしではメモリがあふれ 30W に。学習は 6 時間</t>
        </is>
      </c>
      <c r="O39" s="8" t="inlineStr">
        <is>
          <t>output/exp032/submission_all.csv</t>
        </is>
      </c>
    </row>
    <row r="40">
      <c r="A40" s="16" t="n">
        <v>39</v>
      </c>
      <c r="B40" s="16" t="inlineStr">
        <is>
          <t>exp032_num</t>
        </is>
      </c>
      <c r="C40" s="16" t="inlineStr">
        <is>
          <t>2026-10-28</t>
        </is>
      </c>
      <c r="D40" s="16" t="inlineStr">
        <is>
          <t>特徴量選択</t>
        </is>
      </c>
      <c r="E40" s="16" t="inlineStr">
        <is>
          <t>同上（数値の特徴量 88 列だけ、参考）</t>
        </is>
      </c>
      <c r="F40" s="16" t="inlineStr">
        <is>
          <t>exp032_all</t>
        </is>
      </c>
      <c r="G40" s="17" t="n">
        <v>0.4151</v>
      </c>
      <c r="H40" s="17" t="n"/>
      <c r="I40" s="17" t="n"/>
      <c r="J40" s="18">
        <f>IF(H40="","",H40-G40)</f>
        <v/>
      </c>
      <c r="K40" s="18">
        <f>IF(F40="","",G40-INDEX($G:$G,MATCH(F40,$B:$B,0)))</f>
        <v/>
      </c>
      <c r="L40" s="18">
        <f>IF(OR(F40="",H40=""),"",IFERROR(IF(INDEX($H:$H,MATCH(F40,$B:$B,0))="","",H40-INDEX($H:$H,MATCH(F40,$B:$B,0))),""))</f>
        <v/>
      </c>
      <c r="M40" s="16" t="inlineStr">
        <is>
          <t>参考</t>
        </is>
      </c>
      <c r="N40" s="16" t="inlineStr">
        <is>
          <t>未提出</t>
        </is>
      </c>
      <c r="O40" s="16" t="inlineStr">
        <is>
          <t>output/exp032/submission_num.csv</t>
        </is>
      </c>
    </row>
    <row r="41">
      <c r="A41" s="19" t="n">
        <v>40</v>
      </c>
      <c r="B41" s="19" t="inlineStr">
        <is>
          <t>exp033_all</t>
        </is>
      </c>
      <c r="C41" s="19" t="inlineStr">
        <is>
          <t>2026-10-28</t>
        </is>
      </c>
      <c r="D41" s="19" t="inlineStr">
        <is>
          <t>ファインチューニング</t>
        </is>
      </c>
      <c r="E41" s="19" t="inlineStr">
        <is>
          <t>exp029 ＋ DeBERTa（タイトル）・ModernBERT・Qwen3 の 3 つを全部</t>
        </is>
      </c>
      <c r="F41" s="19" t="inlineStr">
        <is>
          <t>exp029_all</t>
        </is>
      </c>
      <c r="G41" s="20" t="n">
        <v>0.41705</v>
      </c>
      <c r="H41" s="21" t="n">
        <v>0.41978</v>
      </c>
      <c r="I41" s="21" t="n">
        <v>0.42182</v>
      </c>
      <c r="J41" s="22">
        <f>IF(H41="","",H41-G41)</f>
        <v/>
      </c>
      <c r="K41" s="22">
        <f>IF(F41="","",G41-INDEX($G:$G,MATCH(F41,$B:$B,0)))</f>
        <v/>
      </c>
      <c r="L41" s="22">
        <f>IF(OR(F41="",H41=""),"",IFERROR(IF(INDEX($H:$H,MATCH(F41,$B:$B,0))="","",H41-INDEX($H:$H,MATCH(F41,$B:$B,0))),""))</f>
        <v/>
      </c>
      <c r="M41" s="19" t="inlineStr">
        <is>
          <t>採用（ベスト）</t>
        </is>
      </c>
      <c r="N41" s="19" t="inlineStr">
        <is>
          <t>Public で exp031 を 0.00002 上回るだけで、LB の改善のほとんどは ModernBERT による。1 つずつの CV の改善の合計（0.0016）の 7 割（0.0011）。新しい学習なし</t>
        </is>
      </c>
      <c r="O41" s="19" t="inlineStr">
        <is>
          <t>output/exp033/submission_all.csv</t>
        </is>
      </c>
    </row>
    <row r="42">
      <c r="A42" s="16" t="n">
        <v>41</v>
      </c>
      <c r="B42" s="16" t="inlineStr">
        <is>
          <t>exp033_num</t>
        </is>
      </c>
      <c r="C42" s="16" t="inlineStr">
        <is>
          <t>2026-10-28</t>
        </is>
      </c>
      <c r="D42" s="16" t="inlineStr">
        <is>
          <t>特徴量選択</t>
        </is>
      </c>
      <c r="E42" s="16" t="inlineStr">
        <is>
          <t>同上（数値の特徴量 96 列だけ、参考）</t>
        </is>
      </c>
      <c r="F42" s="16" t="inlineStr">
        <is>
          <t>exp033_all</t>
        </is>
      </c>
      <c r="G42" s="17" t="n">
        <v>0.41456</v>
      </c>
      <c r="H42" s="17" t="n"/>
      <c r="I42" s="17" t="n"/>
      <c r="J42" s="18">
        <f>IF(H42="","",H42-G42)</f>
        <v/>
      </c>
      <c r="K42" s="18">
        <f>IF(F42="","",G42-INDEX($G:$G,MATCH(F42,$B:$B,0)))</f>
        <v/>
      </c>
      <c r="L42" s="18">
        <f>IF(OR(F42="",H42=""),"",IFERROR(IF(INDEX($H:$H,MATCH(F42,$B:$B,0))="","",H42-INDEX($H:$H,MATCH(F42,$B:$B,0))),""))</f>
        <v/>
      </c>
      <c r="M42" s="16" t="inlineStr">
        <is>
          <t>参考</t>
        </is>
      </c>
      <c r="N42" s="16" t="inlineStr">
        <is>
          <t>未提出</t>
        </is>
      </c>
      <c r="O42" s="16" t="inlineStr">
        <is>
          <t>output/exp033/submission_num.csv</t>
        </is>
      </c>
    </row>
    <row r="44">
      <c r="B44" s="23" t="inlineStr">
        <is>
          <t>凡例</t>
        </is>
      </c>
    </row>
    <row r="45">
      <c r="B45" s="24" t="inlineStr">
        <is>
          <t>緑の行</t>
        </is>
      </c>
      <c r="E45" s="24" t="inlineStr">
        <is>
          <t>現在のベスト（exp033_all）</t>
        </is>
      </c>
    </row>
    <row r="46">
      <c r="B46" s="24" t="inlineStr">
        <is>
          <t>オレンジの行</t>
        </is>
      </c>
      <c r="E46" s="24" t="inlineStr">
        <is>
          <t>不採用（以降の実験の土台にしていない）</t>
        </is>
      </c>
    </row>
    <row r="47">
      <c r="B47" s="24" t="inlineStr">
        <is>
          <t>灰色の行</t>
        </is>
      </c>
      <c r="E47" s="24" t="inlineStr">
        <is>
          <t>検証・参考のための実験</t>
        </is>
      </c>
    </row>
    <row r="48">
      <c r="B48" s="24" t="inlineStr">
        <is>
          <t>青い数字</t>
        </is>
      </c>
      <c r="E48" s="24" t="inlineStr">
        <is>
          <t>Kaggle に提出して得た LB（ユーザーから共有された値）。空欄は未提出、または Public LB を記録していない</t>
        </is>
      </c>
    </row>
    <row r="49">
      <c r="B49" s="24" t="inlineStr">
        <is>
          <t>LB−CV・変化の列</t>
        </is>
      </c>
      <c r="E49" s="24" t="inlineStr">
        <is>
          <t>数式で計算（比較対象は「比較対象」列の実験名を「実験」列から探す）。LB の変化は、両方に Private LB があるときだけ表示</t>
        </is>
      </c>
    </row>
    <row r="50">
      <c r="B50" s="24" t="inlineStr">
        <is>
          <t>CV</t>
        </is>
      </c>
      <c r="E50" s="24" t="inlineStr">
        <is>
          <t>検索語単位の GroupKFold（5 分割）の RMSE。exp023〜は入れ子の CV（アンサンブル）または LightGBM 単体の OOF</t>
        </is>
      </c>
    </row>
  </sheetData>
  <autoFilter ref="A1:O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8" customWidth="1" min="4" max="4"/>
    <col width="34" customWidth="1" min="5" max="5"/>
    <col width="14" customWidth="1" min="6" max="6"/>
    <col width="14" customWidth="1" min="7" max="7"/>
    <col width="16" customWidth="1" min="8" max="8"/>
    <col width="16" customWidth="1" min="9" max="9"/>
    <col width="46" customWidth="1" min="10" max="10"/>
  </cols>
  <sheetData>
    <row r="1">
      <c r="A1" s="7" t="inlineStr">
        <is>
          <t>モデル</t>
        </is>
      </c>
      <c r="B1" s="7" t="inlineStr">
        <is>
          <t>系統</t>
        </is>
      </c>
      <c r="C1" s="7" t="inlineStr">
        <is>
          <t>パラメータ数</t>
        </is>
      </c>
      <c r="D1" s="7" t="inlineStr">
        <is>
          <t>入力</t>
        </is>
      </c>
      <c r="E1" s="7" t="inlineStr">
        <is>
          <t>学習の工夫</t>
        </is>
      </c>
      <c r="F1" s="7" t="inlineStr">
        <is>
          <t>単独の OOF RMSE</t>
        </is>
      </c>
      <c r="G1" s="7" t="inlineStr">
        <is>
          <t>relevance との相関</t>
        </is>
      </c>
      <c r="H1" s="7" t="inlineStr">
        <is>
          <t>学習時間（5 fold）</t>
        </is>
      </c>
      <c r="I1" s="7" t="inlineStr">
        <is>
          <t>使用した実験</t>
        </is>
      </c>
      <c r="J1" s="7" t="inlineStr">
        <is>
          <t>備考</t>
        </is>
      </c>
    </row>
    <row r="2">
      <c r="A2" s="8" t="inlineStr">
        <is>
          <t>bge-reranker-base</t>
        </is>
      </c>
      <c r="B2" s="8" t="inlineStr">
        <is>
          <t>XLM-RoBERTa</t>
        </is>
      </c>
      <c r="C2" s="8" t="inlineStr">
        <is>
          <t>2.8 億</t>
        </is>
      </c>
      <c r="D2" s="8" t="inlineStr">
        <is>
          <t>タイトル</t>
        </is>
      </c>
      <c r="E2" s="8" t="inlineStr">
        <is>
          <t>—</t>
        </is>
      </c>
      <c r="F2" s="9" t="n">
        <v>0.44997</v>
      </c>
      <c r="G2" s="25" t="n">
        <v>0.554</v>
      </c>
      <c r="H2" s="8" t="inlineStr">
        <is>
          <t>29 分</t>
        </is>
      </c>
      <c r="I2" s="8" t="inlineStr">
        <is>
          <t>exp018〜</t>
        </is>
      </c>
      <c r="J2" s="8" t="inlineStr"/>
    </row>
    <row r="3">
      <c r="A3" s="8" t="inlineStr">
        <is>
          <t>bge-reranker-base</t>
        </is>
      </c>
      <c r="B3" s="8" t="inlineStr">
        <is>
          <t>XLM-RoBERTa</t>
        </is>
      </c>
      <c r="C3" s="8" t="inlineStr">
        <is>
          <t>2.8 億</t>
        </is>
      </c>
      <c r="D3" s="8" t="inlineStr">
        <is>
          <t>タイトル + 説明文（256）</t>
        </is>
      </c>
      <c r="E3" s="8" t="inlineStr">
        <is>
          <t>—</t>
        </is>
      </c>
      <c r="F3" s="9" t="n">
        <v>0.44534</v>
      </c>
      <c r="G3" s="25" t="n">
        <v>0.5669999999999999</v>
      </c>
      <c r="H3" s="8" t="inlineStr">
        <is>
          <t>178 分</t>
        </is>
      </c>
      <c r="I3" s="8" t="inlineStr">
        <is>
          <t>exp020〜</t>
        </is>
      </c>
      <c r="J3" s="8" t="inlineStr"/>
    </row>
    <row r="4">
      <c r="A4" s="8" t="inlineStr">
        <is>
          <t>bge-reranker-v2-m3</t>
        </is>
      </c>
      <c r="B4" s="8" t="inlineStr">
        <is>
          <t>XLM-RoBERTa</t>
        </is>
      </c>
      <c r="C4" s="8" t="inlineStr">
        <is>
          <t>5.7 億</t>
        </is>
      </c>
      <c r="D4" s="8" t="inlineStr">
        <is>
          <t>タイトル</t>
        </is>
      </c>
      <c r="E4" s="8" t="inlineStr">
        <is>
          <t>埋め込み層を固定 + 8bit AdamW</t>
        </is>
      </c>
      <c r="F4" s="9" t="n">
        <v>0.44113</v>
      </c>
      <c r="G4" s="25" t="n">
        <v>0.574</v>
      </c>
      <c r="H4" s="8" t="inlineStr">
        <is>
          <t>65 分</t>
        </is>
      </c>
      <c r="I4" s="8" t="inlineStr">
        <is>
          <t>exp021〜</t>
        </is>
      </c>
      <c r="J4" s="8" t="inlineStr"/>
    </row>
    <row r="5">
      <c r="A5" s="8" t="inlineStr">
        <is>
          <t>bge-reranker-v2-m3（2 つの種の平均）</t>
        </is>
      </c>
      <c r="B5" s="8" t="inlineStr">
        <is>
          <t>XLM-RoBERTa</t>
        </is>
      </c>
      <c r="C5" s="8" t="inlineStr">
        <is>
          <t>5.7 億 ×2</t>
        </is>
      </c>
      <c r="D5" s="8" t="inlineStr">
        <is>
          <t>タイトル</t>
        </is>
      </c>
      <c r="E5" s="8" t="inlineStr">
        <is>
          <t>同上</t>
        </is>
      </c>
      <c r="F5" s="9" t="n">
        <v>0.43792</v>
      </c>
      <c r="G5" s="25" t="n"/>
      <c r="H5" s="8" t="inlineStr">
        <is>
          <t>+66 分</t>
        </is>
      </c>
      <c r="I5" s="8" t="inlineStr">
        <is>
          <t>exp026〜</t>
        </is>
      </c>
      <c r="J5" s="8" t="inlineStr">
        <is>
          <t>種の相関 0.958</t>
        </is>
      </c>
    </row>
    <row r="6">
      <c r="A6" s="8" t="inlineStr">
        <is>
          <t>bge-reranker-v2-m3</t>
        </is>
      </c>
      <c r="B6" s="8" t="inlineStr">
        <is>
          <t>XLM-RoBERTa</t>
        </is>
      </c>
      <c r="C6" s="8" t="inlineStr">
        <is>
          <t>5.7 億</t>
        </is>
      </c>
      <c r="D6" s="8" t="inlineStr">
        <is>
          <t>タイトル + 説明文（256）</t>
        </is>
      </c>
      <c r="E6" s="8" t="inlineStr">
        <is>
          <t>同上 + バッチ 8 × 4 + bf16 予測</t>
        </is>
      </c>
      <c r="F6" s="9" t="n">
        <v>0.43708</v>
      </c>
      <c r="G6" s="25" t="n">
        <v>0.585</v>
      </c>
      <c r="H6" s="8" t="inlineStr">
        <is>
          <t>283 分</t>
        </is>
      </c>
      <c r="I6" s="8" t="inlineStr">
        <is>
          <t>exp022〜</t>
        </is>
      </c>
      <c r="J6" s="8" t="inlineStr"/>
    </row>
    <row r="7">
      <c r="A7" s="8" t="inlineStr">
        <is>
          <t>bge-reranker-v2-m3（2 つの種の平均）</t>
        </is>
      </c>
      <c r="B7" s="8" t="inlineStr">
        <is>
          <t>XLM-RoBERTa</t>
        </is>
      </c>
      <c r="C7" s="8" t="inlineStr">
        <is>
          <t>5.7 億 ×2</t>
        </is>
      </c>
      <c r="D7" s="8" t="inlineStr">
        <is>
          <t>タイトル + 説明文（256）</t>
        </is>
      </c>
      <c r="E7" s="8" t="inlineStr">
        <is>
          <t>同上</t>
        </is>
      </c>
      <c r="F7" s="9" t="n">
        <v>0.43407</v>
      </c>
      <c r="G7" s="25" t="n"/>
      <c r="H7" s="8" t="inlineStr">
        <is>
          <t>+4.7 時間</t>
        </is>
      </c>
      <c r="I7" s="8" t="inlineStr">
        <is>
          <t>exp025〜</t>
        </is>
      </c>
      <c r="J7" s="8" t="inlineStr">
        <is>
          <t>種の相関 0.964</t>
        </is>
      </c>
    </row>
    <row r="8">
      <c r="A8" s="8" t="inlineStr">
        <is>
          <t>mxbai-rerank-base-v1</t>
        </is>
      </c>
      <c r="B8" s="8" t="inlineStr">
        <is>
          <t>DeBERTa-v3</t>
        </is>
      </c>
      <c r="C8" s="8" t="inlineStr">
        <is>
          <t>1.8 億</t>
        </is>
      </c>
      <c r="D8" s="8" t="inlineStr">
        <is>
          <t>タイトル（128）</t>
        </is>
      </c>
      <c r="E8" s="8" t="inlineStr">
        <is>
          <t>transformers 4.49 の別環境。バッチ 16 × 2</t>
        </is>
      </c>
      <c r="F8" s="9" t="n">
        <v>0.43951</v>
      </c>
      <c r="G8" s="25" t="n"/>
      <c r="H8" s="8" t="inlineStr">
        <is>
          <t>1 時間</t>
        </is>
      </c>
      <c r="I8" s="8" t="inlineStr">
        <is>
          <t>exp030</t>
        </is>
      </c>
      <c r="J8" s="8" t="inlineStr">
        <is>
          <t>DeBERTa（タイトル + 説明文）との相関 0.945</t>
        </is>
      </c>
    </row>
    <row r="9">
      <c r="A9" s="8" t="inlineStr">
        <is>
          <t>mxbai-rerank-base-v1</t>
        </is>
      </c>
      <c r="B9" s="8" t="inlineStr">
        <is>
          <t>DeBERTa-v3</t>
        </is>
      </c>
      <c r="C9" s="8" t="inlineStr">
        <is>
          <t>1.8 億</t>
        </is>
      </c>
      <c r="D9" s="8" t="inlineStr">
        <is>
          <t>タイトル + 説明文（256）</t>
        </is>
      </c>
      <c r="E9" s="8" t="inlineStr">
        <is>
          <t>transformers 4.49 の別環境。バッチ 16 × 2</t>
        </is>
      </c>
      <c r="F9" s="9" t="n">
        <v>0.43702</v>
      </c>
      <c r="G9" s="25" t="n"/>
      <c r="H9" s="8" t="inlineStr">
        <is>
          <t>7 時間</t>
        </is>
      </c>
      <c r="I9" s="8" t="inlineStr">
        <is>
          <t>exp029</t>
        </is>
      </c>
      <c r="J9" s="8" t="inlineStr">
        <is>
          <t>transformers 5.x では NaN。ほかのスコアとの相関 0.88〜0.92</t>
        </is>
      </c>
    </row>
    <row r="10">
      <c r="A10" s="8" t="inlineStr">
        <is>
          <t>gte-reranker-modernbert-base</t>
        </is>
      </c>
      <c r="B10" s="8" t="inlineStr">
        <is>
          <t>ModernBERT</t>
        </is>
      </c>
      <c r="C10" s="8" t="inlineStr">
        <is>
          <t>1.5 億</t>
        </is>
      </c>
      <c r="D10" s="8" t="inlineStr">
        <is>
          <t>タイトル + 説明文（256）</t>
        </is>
      </c>
      <c r="E10" s="8" t="inlineStr">
        <is>
          <t>—（.venv-gpu のまま）</t>
        </is>
      </c>
      <c r="F10" s="9" t="n">
        <v>0.43602</v>
      </c>
      <c r="G10" s="25" t="n">
        <v>0.582</v>
      </c>
      <c r="H10" s="8" t="inlineStr">
        <is>
          <t>2 時間 40 分</t>
        </is>
      </c>
      <c r="I10" s="8" t="inlineStr">
        <is>
          <t>exp031</t>
        </is>
      </c>
      <c r="J10" s="8" t="inlineStr">
        <is>
          <t>ほかのスコアとの相関 0.87〜0.93</t>
        </is>
      </c>
    </row>
    <row r="11">
      <c r="A11" s="8" t="inlineStr">
        <is>
          <t>Qwen3-Reranker-0.6B（seq-cls）</t>
        </is>
      </c>
      <c r="B11" s="8" t="inlineStr">
        <is>
          <t>Qwen3（LLM）</t>
        </is>
      </c>
      <c r="C11" s="8" t="inlineStr">
        <is>
          <t>6 億</t>
        </is>
      </c>
      <c r="D11" s="8" t="inlineStr">
        <is>
          <t>タイトル（160、指示文の形で包む）</t>
        </is>
      </c>
      <c r="E11" s="8" t="inlineStr">
        <is>
          <t>埋め込み層を固定 + 8bit AdamW + gradient checkpointing</t>
        </is>
      </c>
      <c r="F11" s="9" t="n">
        <v>0.44286</v>
      </c>
      <c r="G11" s="25" t="n">
        <v>0.5610000000000001</v>
      </c>
      <c r="H11" s="8" t="inlineStr">
        <is>
          <t>6 時間</t>
        </is>
      </c>
      <c r="I11" s="8" t="inlineStr">
        <is>
          <t>exp032</t>
        </is>
      </c>
      <c r="J11" s="8" t="inlineStr">
        <is>
          <t>ほかのスコアとの相関 0.86〜0.90（最も低い）</t>
        </is>
      </c>
    </row>
    <row r="12">
      <c r="A12" s="8" t="inlineStr">
        <is>
          <t>（学習前）mxbai-rerank-base-v1</t>
        </is>
      </c>
      <c r="B12" s="8" t="inlineStr">
        <is>
          <t>DeBERTa-v3</t>
        </is>
      </c>
      <c r="C12" s="8" t="inlineStr">
        <is>
          <t>1.8 億</t>
        </is>
      </c>
      <c r="D12" s="8" t="inlineStr">
        <is>
          <t>タイトル</t>
        </is>
      </c>
      <c r="E12" s="8" t="inlineStr">
        <is>
          <t>ファインチューニングなし</t>
        </is>
      </c>
      <c r="F12" s="9" t="n"/>
      <c r="G12" s="25" t="n">
        <v>0.433</v>
      </c>
      <c r="H12" s="8" t="inlineStr">
        <is>
          <t>51 分（採点のみ）</t>
        </is>
      </c>
      <c r="I12" s="8" t="inlineStr">
        <is>
          <t>exp014〜</t>
        </is>
      </c>
      <c r="J12" s="8" t="inlineStr">
        <is>
          <t>参考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0" customWidth="1" min="2" max="2"/>
    <col width="30" customWidth="1" min="3" max="3"/>
  </cols>
  <sheetData>
    <row r="1">
      <c r="A1" s="7" t="inlineStr">
        <is>
          <t>No</t>
        </is>
      </c>
      <c r="B1" s="7" t="inlineStr">
        <is>
          <t>学び</t>
        </is>
      </c>
      <c r="C1" s="7" t="inlineStr">
        <is>
          <t>根拠の実験</t>
        </is>
      </c>
    </row>
    <row r="2">
      <c r="A2" s="8" t="n">
        <v>1</v>
      </c>
      <c r="B2" s="8" t="inlineStr">
        <is>
          <t>CV の分け方は test との関係に合わせる。test の 73% が未知の検索語なので、検索語単位の GroupKFold にした</t>
        </is>
      </c>
      <c r="C2" s="8" t="inlineStr">
        <is>
          <t>exp001〜</t>
        </is>
      </c>
    </row>
    <row r="3">
      <c r="A3" s="8" t="n">
        <v>2</v>
      </c>
      <c r="B3" s="8" t="inlineStr">
        <is>
          <t>単純な特徴量（単語一致の割合、最後の単語の一致など）が、複雑な類似度より効くことがある</t>
        </is>
      </c>
      <c r="C3" s="8" t="inlineStr">
        <is>
          <t>exp006</t>
        </is>
      </c>
    </row>
    <row r="4">
      <c r="A4" s="8" t="n">
        <v>3</v>
      </c>
      <c r="B4" s="8" t="inlineStr">
        <is>
          <t>意味の近さ（埋め込み）と、ペアを同時に読む cross-encoder は大きく効く。cross-encoder はファインチューニングでさらに伸びる</t>
        </is>
      </c>
      <c r="C4" s="8" t="inlineStr">
        <is>
          <t>exp009, exp014, exp018</t>
        </is>
      </c>
    </row>
    <row r="5">
      <c r="A5" s="8" t="n">
        <v>4</v>
      </c>
      <c r="B5" s="8" t="inlineStr">
        <is>
          <t>gain（重要度）が大きい特徴量でも、予測を良くしているとは限らない。入れた場合と外した場合を比べて確かめる</t>
        </is>
      </c>
      <c r="C5" s="8" t="inlineStr">
        <is>
          <t>exp011, exp012</t>
        </is>
      </c>
    </row>
    <row r="6">
      <c r="A6" s="8" t="n">
        <v>5</v>
      </c>
      <c r="B6" s="8" t="inlineStr">
        <is>
          <t>誤差分析で目立った「付属品の取り違え」の多くは、実はラベルのノイズだった。大きく外した行は、同じ商品群の評価のばらつきも確かめる</t>
        </is>
      </c>
      <c r="C6" s="8" t="inlineStr">
        <is>
          <t>exp019</t>
        </is>
      </c>
    </row>
    <row r="7">
      <c r="A7" s="8" t="n">
        <v>6</v>
      </c>
      <c r="B7" s="8" t="inlineStr">
        <is>
          <t>ラベルを使う特徴量（スタッキング）は、2 段目と同じ fold で out-of-fold にしないとリークする。fold の一致はコードで確かめる</t>
        </is>
      </c>
      <c r="C7" s="8" t="inlineStr">
        <is>
          <t>exp018</t>
        </is>
      </c>
    </row>
    <row r="8">
      <c r="A8" s="8" t="n">
        <v>7</v>
      </c>
      <c r="B8" s="8" t="inlineStr">
        <is>
          <t>train と test で特徴量の作り方をそろえる（OOF は 1 モデル、test も fold ごとに 1 モデル）と LB が改善した</t>
        </is>
      </c>
      <c r="C8" s="8" t="inlineStr">
        <is>
          <t>exp024</t>
        </is>
      </c>
    </row>
    <row r="9">
      <c r="A9" s="8" t="n">
        <v>8</v>
      </c>
      <c r="B9" s="8" t="inlineStr">
        <is>
          <t>ファインチューニングのスコアへの依存を強める変更（アンサンブル、種の平均、数値だけ）は、CV では良くても LB では効かない・悪化する。CV では train より新しい商品を評価できない</t>
        </is>
      </c>
      <c r="C9" s="8" t="inlineStr">
        <is>
          <t>exp023, exp025〜exp028</t>
        </is>
      </c>
    </row>
    <row r="10">
      <c r="A10" s="8" t="n">
        <v>9</v>
      </c>
      <c r="B10" s="8" t="inlineStr">
        <is>
          <t>一方、系統の違うモデル（DeBERTa）を加えると、CV 以上に LB が改善した。同じ系統を重ねるより、系統を増やすほうが頑健</t>
        </is>
      </c>
      <c r="C10" s="8" t="inlineStr">
        <is>
          <t>exp029</t>
        </is>
      </c>
    </row>
    <row r="11">
      <c r="A11" s="8" t="n">
        <v>10</v>
      </c>
      <c r="B11" s="8" t="inlineStr">
        <is>
          <t>系統の違うモデルを加える効果は、加えるほど小さくなる（DeBERTa は LB −0.0024、次の ModernBERT は −0.0002）。同じ系統で入力だけ変えた版（DeBERTa タイトル）はさらに小さい</t>
        </is>
      </c>
      <c r="C11" s="8" t="inlineStr">
        <is>
          <t>exp029, exp030, exp031</t>
        </is>
      </c>
    </row>
    <row r="12">
      <c r="A12" s="8" t="n">
        <v>11</v>
      </c>
      <c r="B12" s="8" t="inlineStr">
        <is>
          <t>スコアの相関が低い（性質が違う）だけでは LB に効くとは限らない。単独で弱いモデル（Qwen3-0.6B）は CV では効いたが LB ではごくわずか。単独の強さと性質の違いの両方が要る</t>
        </is>
      </c>
      <c r="C12" s="8" t="inlineStr">
        <is>
          <t>exp031, exp032</t>
        </is>
      </c>
    </row>
    <row r="13">
      <c r="A13" s="8" t="n">
        <v>12</v>
      </c>
      <c r="B13" s="8" t="inlineStr">
        <is>
          <t>仮説（見た検索語のスコアの偏り）は LB で否定された。仮説は小さく試し、外れたら記録して戻す</t>
        </is>
      </c>
      <c r="C13" s="8" t="inlineStr">
        <is>
          <t>exp028</t>
        </is>
      </c>
    </row>
    <row r="14">
      <c r="A14" s="8" t="n">
        <v>13</v>
      </c>
      <c r="B14" s="8" t="inlineStr">
        <is>
          <t>Private LB を見て何度も選ぶと、test への過学習になる。採否は Public LB で判断する</t>
        </is>
      </c>
      <c r="C14" s="8" t="inlineStr">
        <is>
          <t>exp027〜</t>
        </is>
      </c>
    </row>
    <row r="15">
      <c r="A15" s="8" t="n">
        <v>14</v>
      </c>
      <c r="B15" s="8" t="inlineStr">
        <is>
          <t>8GB の GPU では、単語の埋め込み層の固定・8bit AdamW・バッチの分割・bf16 予測でメモリを抑えると、大きいモデルも現実的な時間で学習できる。あふれると数倍遅くなる</t>
        </is>
      </c>
      <c r="C15" s="8" t="inlineStr">
        <is>
          <t>exp021, exp022, exp029</t>
        </is>
      </c>
    </row>
    <row r="16">
      <c r="A16" s="8" t="n">
        <v>15</v>
      </c>
      <c r="B16" s="8" t="inlineStr">
        <is>
          <t>ライブラリのバージョンでモデルが学習できないことがある（DeBERTa は transformers 5.x で NaN、4.49 では学習できた）</t>
        </is>
      </c>
      <c r="C16" s="8" t="inlineStr">
        <is>
          <t>exp018, exp029</t>
        </is>
      </c>
    </row>
    <row r="17">
      <c r="A17" s="8" t="n">
        <v>16</v>
      </c>
      <c r="B17" s="8" t="inlineStr">
        <is>
          <t>長時間の処理は、ツールの 2 時間制限を避けて独立プロセスで実行し、fold ごとに保存して途中から再開できるようにする</t>
        </is>
      </c>
      <c r="C17" s="8" t="inlineStr">
        <is>
          <t>exp025, exp026, exp029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実験</t>
        </is>
      </c>
      <c r="B1" s="7" t="inlineStr">
        <is>
          <t>CV RMSE</t>
        </is>
      </c>
      <c r="C1" s="7" t="inlineStr">
        <is>
          <t>Private LB</t>
        </is>
      </c>
      <c r="D1" s="7" t="inlineStr">
        <is>
          <t>LB−CV</t>
        </is>
      </c>
    </row>
    <row r="2">
      <c r="A2" s="26">
        <f>実験一覧!B2</f>
        <v/>
      </c>
      <c r="B2" s="27">
        <f>実験一覧!G2</f>
        <v/>
      </c>
      <c r="C2" s="27">
        <f>実験一覧!H2</f>
        <v/>
      </c>
      <c r="D2" s="28">
        <f>C2-B2</f>
        <v/>
      </c>
    </row>
    <row r="3">
      <c r="A3" s="26">
        <f>実験一覧!B3</f>
        <v/>
      </c>
      <c r="B3" s="27">
        <f>実験一覧!G3</f>
        <v/>
      </c>
      <c r="C3" s="27">
        <f>実験一覧!H3</f>
        <v/>
      </c>
      <c r="D3" s="28">
        <f>C3-B3</f>
        <v/>
      </c>
    </row>
    <row r="4">
      <c r="A4" s="26">
        <f>実験一覧!B5</f>
        <v/>
      </c>
      <c r="B4" s="27">
        <f>実験一覧!G5</f>
        <v/>
      </c>
      <c r="C4" s="27">
        <f>実験一覧!H5</f>
        <v/>
      </c>
      <c r="D4" s="28">
        <f>C4-B4</f>
        <v/>
      </c>
    </row>
    <row r="5">
      <c r="A5" s="26">
        <f>実験一覧!B6</f>
        <v/>
      </c>
      <c r="B5" s="27">
        <f>実験一覧!G6</f>
        <v/>
      </c>
      <c r="C5" s="27">
        <f>実験一覧!H6</f>
        <v/>
      </c>
      <c r="D5" s="28">
        <f>C5-B5</f>
        <v/>
      </c>
    </row>
    <row r="6">
      <c r="A6" s="26">
        <f>実験一覧!B7</f>
        <v/>
      </c>
      <c r="B6" s="27">
        <f>実験一覧!G7</f>
        <v/>
      </c>
      <c r="C6" s="27">
        <f>実験一覧!H7</f>
        <v/>
      </c>
      <c r="D6" s="28">
        <f>C6-B6</f>
        <v/>
      </c>
    </row>
    <row r="7">
      <c r="A7" s="26">
        <f>実験一覧!B8</f>
        <v/>
      </c>
      <c r="B7" s="27">
        <f>実験一覧!G8</f>
        <v/>
      </c>
      <c r="C7" s="27">
        <f>実験一覧!H8</f>
        <v/>
      </c>
      <c r="D7" s="28">
        <f>C7-B7</f>
        <v/>
      </c>
    </row>
    <row r="8">
      <c r="A8" s="26">
        <f>実験一覧!B10</f>
        <v/>
      </c>
      <c r="B8" s="27">
        <f>実験一覧!G10</f>
        <v/>
      </c>
      <c r="C8" s="27">
        <f>実験一覧!H10</f>
        <v/>
      </c>
      <c r="D8" s="28">
        <f>C8-B8</f>
        <v/>
      </c>
    </row>
    <row r="9">
      <c r="A9" s="26">
        <f>実験一覧!B11</f>
        <v/>
      </c>
      <c r="B9" s="27">
        <f>実験一覧!G11</f>
        <v/>
      </c>
      <c r="C9" s="27">
        <f>実験一覧!H11</f>
        <v/>
      </c>
      <c r="D9" s="28">
        <f>C9-B9</f>
        <v/>
      </c>
    </row>
    <row r="10">
      <c r="A10" s="26">
        <f>実験一覧!B17</f>
        <v/>
      </c>
      <c r="B10" s="27">
        <f>実験一覧!G17</f>
        <v/>
      </c>
      <c r="C10" s="27">
        <f>実験一覧!H17</f>
        <v/>
      </c>
      <c r="D10" s="28">
        <f>C10-B10</f>
        <v/>
      </c>
    </row>
    <row r="11">
      <c r="A11" s="26">
        <f>実験一覧!B18</f>
        <v/>
      </c>
      <c r="B11" s="27">
        <f>実験一覧!G18</f>
        <v/>
      </c>
      <c r="C11" s="27">
        <f>実験一覧!H18</f>
        <v/>
      </c>
      <c r="D11" s="28">
        <f>C11-B11</f>
        <v/>
      </c>
    </row>
    <row r="12">
      <c r="A12" s="26">
        <f>実験一覧!B19</f>
        <v/>
      </c>
      <c r="B12" s="27">
        <f>実験一覧!G19</f>
        <v/>
      </c>
      <c r="C12" s="27">
        <f>実験一覧!H19</f>
        <v/>
      </c>
      <c r="D12" s="28">
        <f>C12-B12</f>
        <v/>
      </c>
    </row>
    <row r="13">
      <c r="A13" s="26">
        <f>実験一覧!B21</f>
        <v/>
      </c>
      <c r="B13" s="27">
        <f>実験一覧!G21</f>
        <v/>
      </c>
      <c r="C13" s="27">
        <f>実験一覧!H21</f>
        <v/>
      </c>
      <c r="D13" s="28">
        <f>C13-B13</f>
        <v/>
      </c>
    </row>
    <row r="14">
      <c r="A14" s="26">
        <f>実験一覧!B23</f>
        <v/>
      </c>
      <c r="B14" s="27">
        <f>実験一覧!G23</f>
        <v/>
      </c>
      <c r="C14" s="27">
        <f>実験一覧!H23</f>
        <v/>
      </c>
      <c r="D14" s="28">
        <f>C14-B14</f>
        <v/>
      </c>
    </row>
    <row r="15">
      <c r="A15" s="26">
        <f>実験一覧!B24</f>
        <v/>
      </c>
      <c r="B15" s="27">
        <f>実験一覧!G24</f>
        <v/>
      </c>
      <c r="C15" s="27">
        <f>実験一覧!H24</f>
        <v/>
      </c>
      <c r="D15" s="28">
        <f>C15-B15</f>
        <v/>
      </c>
    </row>
    <row r="16">
      <c r="A16" s="26">
        <f>実験一覧!B25</f>
        <v/>
      </c>
      <c r="B16" s="27">
        <f>実験一覧!G25</f>
        <v/>
      </c>
      <c r="C16" s="27">
        <f>実験一覧!H25</f>
        <v/>
      </c>
      <c r="D16" s="28">
        <f>C16-B16</f>
        <v/>
      </c>
    </row>
    <row r="17">
      <c r="A17" s="26">
        <f>実験一覧!B26</f>
        <v/>
      </c>
      <c r="B17" s="27">
        <f>実験一覧!G26</f>
        <v/>
      </c>
      <c r="C17" s="27">
        <f>実験一覧!H26</f>
        <v/>
      </c>
      <c r="D17" s="28">
        <f>C17-B17</f>
        <v/>
      </c>
    </row>
    <row r="18">
      <c r="A18" s="26">
        <f>実験一覧!B28</f>
        <v/>
      </c>
      <c r="B18" s="27">
        <f>実験一覧!G28</f>
        <v/>
      </c>
      <c r="C18" s="27">
        <f>実験一覧!H28</f>
        <v/>
      </c>
      <c r="D18" s="28">
        <f>C18-B18</f>
        <v/>
      </c>
    </row>
    <row r="19">
      <c r="A19" s="26">
        <f>実験一覧!B29</f>
        <v/>
      </c>
      <c r="B19" s="27">
        <f>実験一覧!G29</f>
        <v/>
      </c>
      <c r="C19" s="27">
        <f>実験一覧!H29</f>
        <v/>
      </c>
      <c r="D19" s="28">
        <f>C19-B19</f>
        <v/>
      </c>
    </row>
    <row r="20">
      <c r="A20" s="26">
        <f>実験一覧!B30</f>
        <v/>
      </c>
      <c r="B20" s="27">
        <f>実験一覧!G30</f>
        <v/>
      </c>
      <c r="C20" s="27">
        <f>実験一覧!H30</f>
        <v/>
      </c>
      <c r="D20" s="28">
        <f>C20-B20</f>
        <v/>
      </c>
    </row>
    <row r="21">
      <c r="A21" s="26">
        <f>実験一覧!B31</f>
        <v/>
      </c>
      <c r="B21" s="27">
        <f>実験一覧!G31</f>
        <v/>
      </c>
      <c r="C21" s="27">
        <f>実験一覧!H31</f>
        <v/>
      </c>
      <c r="D21" s="28">
        <f>C21-B21</f>
        <v/>
      </c>
    </row>
    <row r="22">
      <c r="A22" s="26">
        <f>実験一覧!B32</f>
        <v/>
      </c>
      <c r="B22" s="27">
        <f>実験一覧!G32</f>
        <v/>
      </c>
      <c r="C22" s="27">
        <f>実験一覧!H32</f>
        <v/>
      </c>
      <c r="D22" s="28">
        <f>C22-B22</f>
        <v/>
      </c>
    </row>
    <row r="23">
      <c r="A23" s="26">
        <f>実験一覧!B33</f>
        <v/>
      </c>
      <c r="B23" s="27">
        <f>実験一覧!G33</f>
        <v/>
      </c>
      <c r="C23" s="27">
        <f>実験一覧!H33</f>
        <v/>
      </c>
      <c r="D23" s="28">
        <f>C23-B23</f>
        <v/>
      </c>
    </row>
    <row r="24">
      <c r="A24" s="26">
        <f>実験一覧!B35</f>
        <v/>
      </c>
      <c r="B24" s="27">
        <f>実験一覧!G35</f>
        <v/>
      </c>
      <c r="C24" s="27">
        <f>実験一覧!H35</f>
        <v/>
      </c>
      <c r="D24" s="28">
        <f>C24-B24</f>
        <v/>
      </c>
    </row>
    <row r="25">
      <c r="A25" s="26">
        <f>実験一覧!B37</f>
        <v/>
      </c>
      <c r="B25" s="27">
        <f>実験一覧!G37</f>
        <v/>
      </c>
      <c r="C25" s="27">
        <f>実験一覧!H37</f>
        <v/>
      </c>
      <c r="D25" s="28">
        <f>C25-B25</f>
        <v/>
      </c>
    </row>
    <row r="26">
      <c r="A26" s="26">
        <f>実験一覧!B39</f>
        <v/>
      </c>
      <c r="B26" s="27">
        <f>実験一覧!G39</f>
        <v/>
      </c>
      <c r="C26" s="27">
        <f>実験一覧!H39</f>
        <v/>
      </c>
      <c r="D26" s="28">
        <f>C26-B26</f>
        <v/>
      </c>
    </row>
    <row r="27">
      <c r="A27" s="26">
        <f>実験一覧!B41</f>
        <v/>
      </c>
      <c r="B27" s="27">
        <f>実験一覧!G41</f>
        <v/>
      </c>
      <c r="C27" s="27">
        <f>実験一覧!H41</f>
        <v/>
      </c>
      <c r="D27" s="28">
        <f>C27-B27</f>
        <v/>
      </c>
    </row>
    <row r="29">
      <c r="A29" s="24" t="inlineStr">
        <is>
          <t>緑の文字は「実験一覧」シートへの参照。LB−CV が正なら、LB が CV より悪い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2026-10-28T00:45:18Z</dcterms:created>
  <dcterms:modified xsi:type="dcterms:W3CDTF">2026-10-28T00:45:18Z</dcterms:modified>
</cp:coreProperties>
</file>